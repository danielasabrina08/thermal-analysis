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5 2\Desktop\Datos modelo de descenso\Estaca 030\"/>
    </mc:Choice>
  </mc:AlternateContent>
  <xr:revisionPtr revIDLastSave="0" documentId="13_ncr:1_{D2B63DCF-417F-4C17-8F77-BB9AC6C9D6CA}" xr6:coauthVersionLast="47" xr6:coauthVersionMax="47" xr10:uidLastSave="{00000000-0000-0000-0000-000000000000}"/>
  <bookViews>
    <workbookView xWindow="-120" yWindow="-120" windowWidth="29040" windowHeight="15840" xr2:uid="{A1040049-2048-45C9-B9BF-23040DEEACB5}"/>
  </bookViews>
  <sheets>
    <sheet name="Hoja1" sheetId="1" r:id="rId1"/>
  </sheets>
  <definedNames>
    <definedName name="solver_adj" localSheetId="0" hidden="1">Hoja1!$L$6</definedName>
    <definedName name="solver_eng" localSheetId="0" hidden="1">0</definedName>
    <definedName name="solver_neg" localSheetId="0" hidden="1">1</definedName>
    <definedName name="solver_opt" localSheetId="0" hidden="1">Hoja1!$E$47</definedName>
    <definedName name="solver_rxv" localSheetId="0" hidden="1">1</definedName>
    <definedName name="solver_typ" localSheetId="0" hidden="1">2</definedName>
    <definedName name="solver_val" localSheetId="0" hidden="1">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  <c r="D14" i="1"/>
  <c r="D15" i="1"/>
  <c r="E15" i="1" s="1"/>
  <c r="D16" i="1"/>
  <c r="D17" i="1"/>
  <c r="D18" i="1"/>
  <c r="D19" i="1"/>
  <c r="D20" i="1"/>
  <c r="D21" i="1"/>
  <c r="E21" i="1" s="1"/>
  <c r="D22" i="1"/>
  <c r="E22" i="1" s="1"/>
  <c r="D23" i="1"/>
  <c r="E23" i="1" s="1"/>
  <c r="D24" i="1"/>
  <c r="E24" i="1" s="1"/>
  <c r="D25" i="1"/>
  <c r="D26" i="1"/>
  <c r="D27" i="1"/>
  <c r="E27" i="1" s="1"/>
  <c r="D28" i="1"/>
  <c r="D29" i="1"/>
  <c r="D30" i="1"/>
  <c r="D31" i="1"/>
  <c r="D32" i="1"/>
  <c r="E32" i="1" s="1"/>
  <c r="D33" i="1"/>
  <c r="E33" i="1" s="1"/>
  <c r="D34" i="1"/>
  <c r="E34" i="1" s="1"/>
  <c r="D35" i="1"/>
  <c r="E35" i="1" s="1"/>
  <c r="D36" i="1"/>
  <c r="E36" i="1" s="1"/>
  <c r="D37" i="1"/>
  <c r="D38" i="1"/>
  <c r="D39" i="1"/>
  <c r="E39" i="1" s="1"/>
  <c r="D40" i="1"/>
  <c r="D41" i="1"/>
  <c r="D42" i="1"/>
  <c r="D43" i="1"/>
  <c r="D44" i="1"/>
  <c r="D3" i="1"/>
  <c r="D4" i="1"/>
  <c r="E4" i="1" s="1"/>
  <c r="D5" i="1"/>
  <c r="E5" i="1" s="1"/>
  <c r="D6" i="1"/>
  <c r="E6" i="1" s="1"/>
  <c r="D7" i="1"/>
  <c r="E7" i="1" s="1"/>
  <c r="D8" i="1"/>
  <c r="D9" i="1"/>
  <c r="D10" i="1"/>
  <c r="D11" i="1"/>
  <c r="D12" i="1"/>
  <c r="E12" i="1" s="1"/>
  <c r="D2" i="1"/>
  <c r="E44" i="1"/>
  <c r="E43" i="1"/>
  <c r="E42" i="1"/>
  <c r="E41" i="1"/>
  <c r="E40" i="1"/>
  <c r="E38" i="1"/>
  <c r="E37" i="1"/>
  <c r="E31" i="1"/>
  <c r="E30" i="1"/>
  <c r="E29" i="1"/>
  <c r="E28" i="1"/>
  <c r="E26" i="1"/>
  <c r="E25" i="1"/>
  <c r="E20" i="1"/>
  <c r="E19" i="1"/>
  <c r="E18" i="1"/>
  <c r="E17" i="1"/>
  <c r="E16" i="1"/>
  <c r="E14" i="1"/>
  <c r="E13" i="1"/>
  <c r="E11" i="1"/>
  <c r="E10" i="1"/>
  <c r="E9" i="1"/>
  <c r="E8" i="1"/>
  <c r="E3" i="1"/>
  <c r="E2" i="1"/>
  <c r="E47" i="1" l="1"/>
</calcChain>
</file>

<file path=xl/sharedStrings.xml><?xml version="1.0" encoding="utf-8"?>
<sst xmlns="http://schemas.openxmlformats.org/spreadsheetml/2006/main" count="69" uniqueCount="69">
  <si>
    <t>time (min)</t>
  </si>
  <si>
    <t>Time</t>
  </si>
  <si>
    <t>Temp</t>
  </si>
  <si>
    <t>Tmodelo</t>
  </si>
  <si>
    <t>error</t>
  </si>
  <si>
    <t xml:space="preserve"> 12:45:47</t>
  </si>
  <si>
    <t xml:space="preserve"> 12:46:17</t>
  </si>
  <si>
    <t xml:space="preserve"> 12:46:47</t>
  </si>
  <si>
    <t xml:space="preserve"> 12:47:17</t>
  </si>
  <si>
    <t xml:space="preserve"> 12:47:47</t>
  </si>
  <si>
    <t xml:space="preserve"> 12:48:17</t>
  </si>
  <si>
    <t xml:space="preserve"> 12:48:47</t>
  </si>
  <si>
    <t xml:space="preserve"> 12:49:17</t>
  </si>
  <si>
    <t xml:space="preserve"> 12:49:47</t>
  </si>
  <si>
    <t xml:space="preserve"> 12:50:17</t>
  </si>
  <si>
    <t xml:space="preserve"> 12:50:47</t>
  </si>
  <si>
    <t xml:space="preserve"> 12:51:17</t>
  </si>
  <si>
    <t xml:space="preserve"> 12:51:47</t>
  </si>
  <si>
    <t xml:space="preserve"> 12:52:17</t>
  </si>
  <si>
    <t xml:space="preserve"> 12:52:47</t>
  </si>
  <si>
    <t xml:space="preserve"> 12:53:17</t>
  </si>
  <si>
    <t xml:space="preserve"> 12:53:47</t>
  </si>
  <si>
    <t xml:space="preserve"> 12:54:17</t>
  </si>
  <si>
    <t xml:space="preserve"> 12:54:47</t>
  </si>
  <si>
    <t xml:space="preserve"> 12:55:17</t>
  </si>
  <si>
    <t xml:space="preserve"> 12:55:47</t>
  </si>
  <si>
    <t xml:space="preserve"> 12:56:17</t>
  </si>
  <si>
    <t xml:space="preserve"> 12:56:47</t>
  </si>
  <si>
    <t xml:space="preserve"> 12:57:17</t>
  </si>
  <si>
    <t xml:space="preserve"> 12:57:47</t>
  </si>
  <si>
    <t xml:space="preserve"> 12:58:17</t>
  </si>
  <si>
    <t xml:space="preserve"> 12:58:47</t>
  </si>
  <si>
    <t xml:space="preserve"> 12:59:17</t>
  </si>
  <si>
    <t xml:space="preserve"> 12:59:47</t>
  </si>
  <si>
    <t xml:space="preserve"> 13:00:17</t>
  </si>
  <si>
    <t xml:space="preserve"> 13:00:47</t>
  </si>
  <si>
    <t xml:space="preserve"> 13:01:17</t>
  </si>
  <si>
    <t xml:space="preserve"> 13:01:47</t>
  </si>
  <si>
    <t xml:space="preserve"> 13:02:17</t>
  </si>
  <si>
    <t xml:space="preserve"> 13:02:47</t>
  </si>
  <si>
    <t xml:space="preserve"> 13:03:17</t>
  </si>
  <si>
    <t xml:space="preserve"> 13:03:47</t>
  </si>
  <si>
    <t xml:space="preserve"> 13:04:17</t>
  </si>
  <si>
    <t xml:space="preserve"> 13:04:47</t>
  </si>
  <si>
    <t xml:space="preserve"> 13:05:17</t>
  </si>
  <si>
    <t xml:space="preserve"> 13:05:47</t>
  </si>
  <si>
    <t xml:space="preserve"> 13:06:17</t>
  </si>
  <si>
    <t xml:space="preserve"> 13:06:47</t>
  </si>
  <si>
    <t>k_opt</t>
  </si>
  <si>
    <t>T_0</t>
  </si>
  <si>
    <t>T_objetivo</t>
  </si>
  <si>
    <t>suma_error</t>
  </si>
  <si>
    <t xml:space="preserve"> 13:07:17</t>
  </si>
  <si>
    <t xml:space="preserve"> 13:07:47</t>
  </si>
  <si>
    <t xml:space="preserve"> 13:08:17</t>
  </si>
  <si>
    <t xml:space="preserve"> 13:08:47</t>
  </si>
  <si>
    <t xml:space="preserve"> 13:09:17</t>
  </si>
  <si>
    <t xml:space="preserve"> 13:09:47</t>
  </si>
  <si>
    <t xml:space="preserve"> 13:10:17</t>
  </si>
  <si>
    <t xml:space="preserve"> 13:10:47</t>
  </si>
  <si>
    <t xml:space="preserve"> 13:11:17</t>
  </si>
  <si>
    <t xml:space="preserve"> 13:11:47</t>
  </si>
  <si>
    <t xml:space="preserve"> 13:12:17</t>
  </si>
  <si>
    <t xml:space="preserve"> 13:12:47</t>
  </si>
  <si>
    <t xml:space="preserve"> 13:13:17</t>
  </si>
  <si>
    <t xml:space="preserve"> 13:13:47</t>
  </si>
  <si>
    <t xml:space="preserve"> 13:14:17</t>
  </si>
  <si>
    <t>#Nota: en el tiempo marcado en amarillo el sistema ya alcanzo su sp</t>
  </si>
  <si>
    <t>por lo que se deja fuera del modelo de decaimiento de temperatura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</si>
</sst>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Temp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8.0889982502187222E-2"/>
                  <c:y val="-0.17936169437153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Hoja1!$A$2:$A$44</c:f>
              <c:numCache>
                <c:formatCode>General</c:formatCode>
                <c:ptCount val="4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</c:numCache>
            </c:numRef>
          </c:xVal>
          <c:yVal>
            <c:numRef>
              <c:f>Hoja1!$C$2:$C$44</c:f>
              <c:numCache>
                <c:formatCode>General</c:formatCode>
                <c:ptCount val="43"/>
                <c:pt idx="0">
                  <c:v>27.4</c:v>
                </c:pt>
                <c:pt idx="1">
                  <c:v>27.3</c:v>
                </c:pt>
                <c:pt idx="2">
                  <c:v>27.1</c:v>
                </c:pt>
                <c:pt idx="3">
                  <c:v>26.7</c:v>
                </c:pt>
                <c:pt idx="4">
                  <c:v>26.1</c:v>
                </c:pt>
                <c:pt idx="5">
                  <c:v>25.3</c:v>
                </c:pt>
                <c:pt idx="6">
                  <c:v>24.5</c:v>
                </c:pt>
                <c:pt idx="7">
                  <c:v>23.6</c:v>
                </c:pt>
                <c:pt idx="8">
                  <c:v>22.6</c:v>
                </c:pt>
                <c:pt idx="9">
                  <c:v>21.7</c:v>
                </c:pt>
                <c:pt idx="10">
                  <c:v>20.8</c:v>
                </c:pt>
                <c:pt idx="11">
                  <c:v>19.899999999999999</c:v>
                </c:pt>
                <c:pt idx="12">
                  <c:v>19.100000000000001</c:v>
                </c:pt>
                <c:pt idx="13">
                  <c:v>18.2</c:v>
                </c:pt>
                <c:pt idx="14">
                  <c:v>17.399999999999999</c:v>
                </c:pt>
                <c:pt idx="15">
                  <c:v>16.7</c:v>
                </c:pt>
                <c:pt idx="16">
                  <c:v>16</c:v>
                </c:pt>
                <c:pt idx="17">
                  <c:v>15.3</c:v>
                </c:pt>
                <c:pt idx="18">
                  <c:v>14.6</c:v>
                </c:pt>
                <c:pt idx="19">
                  <c:v>14</c:v>
                </c:pt>
                <c:pt idx="20">
                  <c:v>13.4</c:v>
                </c:pt>
                <c:pt idx="21">
                  <c:v>12.8</c:v>
                </c:pt>
                <c:pt idx="22">
                  <c:v>12.2</c:v>
                </c:pt>
                <c:pt idx="23">
                  <c:v>11.7</c:v>
                </c:pt>
                <c:pt idx="24">
                  <c:v>11.2</c:v>
                </c:pt>
                <c:pt idx="25">
                  <c:v>10.7</c:v>
                </c:pt>
                <c:pt idx="26">
                  <c:v>10.3</c:v>
                </c:pt>
                <c:pt idx="27">
                  <c:v>9.8000000000000007</c:v>
                </c:pt>
                <c:pt idx="28">
                  <c:v>9.3000000000000007</c:v>
                </c:pt>
                <c:pt idx="29">
                  <c:v>8.9</c:v>
                </c:pt>
                <c:pt idx="30">
                  <c:v>8.5</c:v>
                </c:pt>
                <c:pt idx="31">
                  <c:v>8.1</c:v>
                </c:pt>
                <c:pt idx="32">
                  <c:v>7.7</c:v>
                </c:pt>
                <c:pt idx="33">
                  <c:v>7.3</c:v>
                </c:pt>
                <c:pt idx="34">
                  <c:v>7</c:v>
                </c:pt>
                <c:pt idx="35">
                  <c:v>6.6</c:v>
                </c:pt>
                <c:pt idx="36">
                  <c:v>6.3</c:v>
                </c:pt>
                <c:pt idx="37">
                  <c:v>5.9</c:v>
                </c:pt>
                <c:pt idx="38">
                  <c:v>5.6</c:v>
                </c:pt>
                <c:pt idx="39">
                  <c:v>5.3</c:v>
                </c:pt>
                <c:pt idx="40">
                  <c:v>5</c:v>
                </c:pt>
                <c:pt idx="41">
                  <c:v>4.7</c:v>
                </c:pt>
                <c:pt idx="42">
                  <c:v>4.4000000000000004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15-4145-8797-39F8A324E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897584"/>
        <c:axId val="704901424"/>
      </c:scatterChart>
      <c:valAx>
        <c:axId val="70489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4901424"/>
        <c:crosses val="autoZero"/>
        <c:crossBetween val="midCat"/>
      </c:valAx>
      <c:valAx>
        <c:axId val="70490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489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19</xdr:row>
      <xdr:rowOff>42862</xdr:rowOff>
    </xdr:from>
    <xdr:to>
      <xdr:col>12</xdr:col>
      <xdr:colOff>390525</xdr:colOff>
      <xdr:row>33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368A7A-2703-81C7-9D69-E1693E76A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9F8B52-FE64-497B-B929-4A438B4F3B28}">
  <we:reference id="wa104100404" version="3.0.0.1" store="es-ES" storeType="OMEX"/>
  <we:alternateReferences>
    <we:reference id="wa104100404" version="3.0.0.1" store="wa104100404" storeType="OMEX"/>
  </we:alternateReferences>
  <we:properties>
    <we:property name="UniqueID" value="&quot;2025330174602872463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B741-F19D-4EAD-A0FA-556CB4633113}">
  <dimension ref="A1:L61"/>
  <sheetViews>
    <sheetView tabSelected="1" topLeftCell="A28" workbookViewId="0">
      <selection activeCell="N38" sqref="N37:N38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 x14ac:dyDescent="0.25">
      <c r="A2">
        <v>0</v>
      </c>
      <c r="B2" t="s">
        <v>5</v>
      </c>
      <c r="C2">
        <v>27.4</v>
      </c>
      <c r="D2">
        <f>$L$5 + ($L$4-$L$5)*EXP(-$L$6*A2)</f>
        <v>27.4</v>
      </c>
      <c r="E2">
        <f>(C2-D2)^2</f>
        <v>0</v>
      </c>
    </row>
    <row r="3" spans="1:12" x14ac:dyDescent="0.25">
      <c r="A3">
        <v>0.5</v>
      </c>
      <c r="B3" t="s">
        <v>6</v>
      </c>
      <c r="C3">
        <v>27.3</v>
      </c>
      <c r="D3">
        <f t="shared" ref="D3:D44" si="0">$L$5 + ($L$4-$L$5)*EXP(-$L$6*A3)</f>
        <v>26.310460093763126</v>
      </c>
      <c r="E3">
        <f>(C3-D3)^2</f>
        <v>0.97918922603528258</v>
      </c>
    </row>
    <row r="4" spans="1:12" x14ac:dyDescent="0.25">
      <c r="A4">
        <v>1</v>
      </c>
      <c r="B4" t="s">
        <v>7</v>
      </c>
      <c r="C4">
        <v>27.1</v>
      </c>
      <c r="D4">
        <f t="shared" si="0"/>
        <v>25.271650837410125</v>
      </c>
      <c r="E4">
        <f>(C4-D4)^2</f>
        <v>3.3428606603431041</v>
      </c>
      <c r="K4" t="s">
        <v>49</v>
      </c>
      <c r="L4">
        <v>27.4</v>
      </c>
    </row>
    <row r="5" spans="1:12" x14ac:dyDescent="0.25">
      <c r="A5">
        <v>1.5</v>
      </c>
      <c r="B5" t="s">
        <v>8</v>
      </c>
      <c r="C5">
        <v>26.7</v>
      </c>
      <c r="D5">
        <f t="shared" si="0"/>
        <v>24.281210134038531</v>
      </c>
      <c r="E5" s="1">
        <f t="shared" ref="E5:E44" si="1">(C5-D5)^2</f>
        <v>5.8505444156778967</v>
      </c>
      <c r="K5" t="s">
        <v>50</v>
      </c>
      <c r="L5">
        <v>4</v>
      </c>
    </row>
    <row r="6" spans="1:12" x14ac:dyDescent="0.25">
      <c r="A6">
        <v>2</v>
      </c>
      <c r="B6" t="s">
        <v>9</v>
      </c>
      <c r="C6">
        <v>26.1</v>
      </c>
      <c r="D6">
        <f t="shared" si="0"/>
        <v>23.336885869602181</v>
      </c>
      <c r="E6" s="1">
        <f t="shared" si="1"/>
        <v>7.6347996976041035</v>
      </c>
      <c r="K6" s="2" t="s">
        <v>48</v>
      </c>
      <c r="L6" s="2">
        <v>9.5360782744839723E-2</v>
      </c>
    </row>
    <row r="7" spans="1:12" x14ac:dyDescent="0.25">
      <c r="A7">
        <v>2.5</v>
      </c>
      <c r="B7" t="s">
        <v>10</v>
      </c>
      <c r="C7">
        <v>25.3</v>
      </c>
      <c r="D7">
        <f t="shared" si="0"/>
        <v>22.436530791940662</v>
      </c>
      <c r="E7" s="1">
        <f t="shared" si="1"/>
        <v>8.199455905503978</v>
      </c>
    </row>
    <row r="8" spans="1:12" x14ac:dyDescent="0.25">
      <c r="A8">
        <v>3</v>
      </c>
      <c r="B8" t="s">
        <v>11</v>
      </c>
      <c r="C8">
        <v>24.5</v>
      </c>
      <c r="D8">
        <f t="shared" si="0"/>
        <v>21.578097628249029</v>
      </c>
      <c r="E8" s="1">
        <f t="shared" si="1"/>
        <v>8.5375134700439474</v>
      </c>
    </row>
    <row r="9" spans="1:12" x14ac:dyDescent="0.25">
      <c r="A9">
        <v>3.5</v>
      </c>
      <c r="B9" t="s">
        <v>12</v>
      </c>
      <c r="C9">
        <v>23.6</v>
      </c>
      <c r="D9">
        <f t="shared" si="0"/>
        <v>20.759634429885562</v>
      </c>
      <c r="E9" s="1">
        <f t="shared" si="1"/>
        <v>8.0676765718915249</v>
      </c>
    </row>
    <row r="10" spans="1:12" x14ac:dyDescent="0.25">
      <c r="A10">
        <v>4</v>
      </c>
      <c r="B10" t="s">
        <v>13</v>
      </c>
      <c r="C10">
        <v>22.6</v>
      </c>
      <c r="D10">
        <f t="shared" si="0"/>
        <v>19.979280133932498</v>
      </c>
      <c r="E10" s="1">
        <f t="shared" si="1"/>
        <v>6.8681726164008721</v>
      </c>
    </row>
    <row r="11" spans="1:12" x14ac:dyDescent="0.25">
      <c r="A11">
        <v>4.5</v>
      </c>
      <c r="B11" t="s">
        <v>14</v>
      </c>
      <c r="C11">
        <v>21.7</v>
      </c>
      <c r="D11">
        <f t="shared" si="0"/>
        <v>19.235260331417216</v>
      </c>
      <c r="E11" s="1">
        <f t="shared" si="1"/>
        <v>6.0749416338855697</v>
      </c>
    </row>
    <row r="12" spans="1:12" x14ac:dyDescent="0.25">
      <c r="A12">
        <v>5</v>
      </c>
      <c r="B12" t="s">
        <v>15</v>
      </c>
      <c r="C12">
        <v>20.8</v>
      </c>
      <c r="D12">
        <f t="shared" si="0"/>
        <v>18.525883232571633</v>
      </c>
      <c r="E12" s="1">
        <f t="shared" si="1"/>
        <v>5.1716070718988467</v>
      </c>
    </row>
    <row r="13" spans="1:12" x14ac:dyDescent="0.25">
      <c r="A13">
        <v>5.5</v>
      </c>
      <c r="B13" t="s">
        <v>16</v>
      </c>
      <c r="C13">
        <v>19.899999999999999</v>
      </c>
      <c r="D13">
        <f t="shared" si="0"/>
        <v>17.849535819955229</v>
      </c>
      <c r="E13">
        <f t="shared" si="1"/>
        <v>4.2044033536466712</v>
      </c>
    </row>
    <row r="14" spans="1:12" x14ac:dyDescent="0.25">
      <c r="A14">
        <v>6</v>
      </c>
      <c r="B14" t="s">
        <v>17</v>
      </c>
      <c r="C14">
        <v>19.100000000000001</v>
      </c>
      <c r="D14">
        <f t="shared" si="0"/>
        <v>17.20468018069462</v>
      </c>
      <c r="E14">
        <f t="shared" si="1"/>
        <v>3.592237217451784</v>
      </c>
    </row>
    <row r="15" spans="1:12" x14ac:dyDescent="0.25">
      <c r="A15">
        <v>6.5</v>
      </c>
      <c r="B15" t="s">
        <v>18</v>
      </c>
      <c r="C15">
        <v>18.2</v>
      </c>
      <c r="D15">
        <f t="shared" si="0"/>
        <v>16.589850009499667</v>
      </c>
      <c r="E15">
        <f t="shared" si="1"/>
        <v>2.5925829919082202</v>
      </c>
    </row>
    <row r="16" spans="1:12" x14ac:dyDescent="0.25">
      <c r="A16">
        <v>7</v>
      </c>
      <c r="B16" t="s">
        <v>19</v>
      </c>
      <c r="C16">
        <v>17.399999999999999</v>
      </c>
      <c r="D16">
        <f t="shared" si="0"/>
        <v>16.003647274504512</v>
      </c>
      <c r="E16">
        <f t="shared" si="1"/>
        <v>1.9498009339986726</v>
      </c>
    </row>
    <row r="17" spans="1:5" x14ac:dyDescent="0.25">
      <c r="A17">
        <v>7.5</v>
      </c>
      <c r="B17" t="s">
        <v>20</v>
      </c>
      <c r="C17">
        <v>16.7</v>
      </c>
      <c r="D17">
        <f t="shared" si="0"/>
        <v>15.4447390383522</v>
      </c>
      <c r="E17">
        <f t="shared" si="1"/>
        <v>1.5756800818369583</v>
      </c>
    </row>
    <row r="18" spans="1:5" x14ac:dyDescent="0.25">
      <c r="A18">
        <v>8</v>
      </c>
      <c r="B18" t="s">
        <v>21</v>
      </c>
      <c r="C18">
        <v>16</v>
      </c>
      <c r="D18">
        <f t="shared" si="0"/>
        <v>14.911854427294433</v>
      </c>
      <c r="E18">
        <f t="shared" si="1"/>
        <v>1.1840607873987272</v>
      </c>
    </row>
    <row r="19" spans="1:5" x14ac:dyDescent="0.25">
      <c r="A19">
        <v>8.5</v>
      </c>
      <c r="B19" t="s">
        <v>22</v>
      </c>
      <c r="C19">
        <v>15.3</v>
      </c>
      <c r="D19">
        <f t="shared" si="0"/>
        <v>14.403781741414742</v>
      </c>
      <c r="E19">
        <f t="shared" si="1"/>
        <v>0.80320716702159445</v>
      </c>
    </row>
    <row r="20" spans="1:5" x14ac:dyDescent="0.25">
      <c r="A20">
        <v>9</v>
      </c>
      <c r="B20" t="s">
        <v>23</v>
      </c>
      <c r="C20">
        <v>14.6</v>
      </c>
      <c r="D20">
        <f t="shared" si="0"/>
        <v>13.919365699404061</v>
      </c>
      <c r="E20">
        <f t="shared" si="1"/>
        <v>0.46326305114772276</v>
      </c>
    </row>
    <row r="21" spans="1:5" x14ac:dyDescent="0.25">
      <c r="A21">
        <v>9.5</v>
      </c>
      <c r="B21" t="s">
        <v>24</v>
      </c>
      <c r="C21">
        <v>14</v>
      </c>
      <c r="D21">
        <f t="shared" si="0"/>
        <v>13.457504811623808</v>
      </c>
      <c r="E21">
        <f t="shared" si="1"/>
        <v>0.29430102941131975</v>
      </c>
    </row>
    <row r="22" spans="1:5" x14ac:dyDescent="0.25">
      <c r="A22">
        <v>10</v>
      </c>
      <c r="B22" t="s">
        <v>25</v>
      </c>
      <c r="C22">
        <v>13.4</v>
      </c>
      <c r="D22">
        <f t="shared" si="0"/>
        <v>13.01714887548315</v>
      </c>
      <c r="E22">
        <f t="shared" si="1"/>
        <v>0.14657498354381709</v>
      </c>
    </row>
    <row r="23" spans="1:5" x14ac:dyDescent="0.25">
      <c r="A23">
        <v>10.5</v>
      </c>
      <c r="B23" t="s">
        <v>26</v>
      </c>
      <c r="C23">
        <v>12.8</v>
      </c>
      <c r="D23">
        <f t="shared" si="0"/>
        <v>12.597296587435379</v>
      </c>
      <c r="E23">
        <f t="shared" si="1"/>
        <v>4.1088673465343395E-2</v>
      </c>
    </row>
    <row r="24" spans="1:5" x14ac:dyDescent="0.25">
      <c r="A24">
        <v>11</v>
      </c>
      <c r="B24" t="s">
        <v>27</v>
      </c>
      <c r="C24">
        <v>12.2</v>
      </c>
      <c r="D24">
        <f t="shared" si="0"/>
        <v>12.196993266163373</v>
      </c>
      <c r="E24">
        <f t="shared" si="1"/>
        <v>9.0404483643128876E-6</v>
      </c>
    </row>
    <row r="25" spans="1:5" x14ac:dyDescent="0.25">
      <c r="A25">
        <v>11.5</v>
      </c>
      <c r="B25" t="s">
        <v>28</v>
      </c>
      <c r="C25">
        <v>11.7</v>
      </c>
      <c r="D25">
        <f t="shared" si="0"/>
        <v>11.815328681777054</v>
      </c>
      <c r="E25">
        <f t="shared" si="1"/>
        <v>1.3300704840433043E-2</v>
      </c>
    </row>
    <row r="26" spans="1:5" x14ac:dyDescent="0.25">
      <c r="A26">
        <v>12</v>
      </c>
      <c r="B26" t="s">
        <v>29</v>
      </c>
      <c r="C26">
        <v>11.2</v>
      </c>
      <c r="D26">
        <f t="shared" si="0"/>
        <v>11.451434986086722</v>
      </c>
      <c r="E26">
        <f t="shared" si="1"/>
        <v>6.3219552228430634E-2</v>
      </c>
    </row>
    <row r="27" spans="1:5" x14ac:dyDescent="0.25">
      <c r="A27">
        <v>12.5</v>
      </c>
      <c r="B27" t="s">
        <v>30</v>
      </c>
      <c r="C27">
        <v>10.7</v>
      </c>
      <c r="D27">
        <f t="shared" si="0"/>
        <v>11.104484739246077</v>
      </c>
      <c r="E27">
        <f t="shared" si="1"/>
        <v>0.16360790428296751</v>
      </c>
    </row>
    <row r="28" spans="1:5" x14ac:dyDescent="0.25">
      <c r="A28">
        <v>13</v>
      </c>
      <c r="B28" t="s">
        <v>31</v>
      </c>
      <c r="C28">
        <v>10.3</v>
      </c>
      <c r="D28">
        <f t="shared" si="0"/>
        <v>10.773689028277724</v>
      </c>
      <c r="E28">
        <f t="shared" si="1"/>
        <v>0.22438129551069397</v>
      </c>
    </row>
    <row r="29" spans="1:5" x14ac:dyDescent="0.25">
      <c r="A29">
        <v>13.5</v>
      </c>
      <c r="B29" t="s">
        <v>32</v>
      </c>
      <c r="C29">
        <v>9.8000000000000007</v>
      </c>
      <c r="D29">
        <f t="shared" si="0"/>
        <v>10.458295673203049</v>
      </c>
      <c r="E29">
        <f t="shared" si="1"/>
        <v>0.43335319335785394</v>
      </c>
    </row>
    <row r="30" spans="1:5" x14ac:dyDescent="0.25">
      <c r="A30">
        <v>14</v>
      </c>
      <c r="B30" t="s">
        <v>33</v>
      </c>
      <c r="C30">
        <v>9.3000000000000007</v>
      </c>
      <c r="D30">
        <f t="shared" si="0"/>
        <v>10.15758751669742</v>
      </c>
      <c r="E30">
        <f t="shared" si="1"/>
        <v>0.73545634879524702</v>
      </c>
    </row>
    <row r="31" spans="1:5" x14ac:dyDescent="0.25">
      <c r="A31">
        <v>14.5</v>
      </c>
      <c r="B31" t="s">
        <v>34</v>
      </c>
      <c r="C31">
        <v>8.9</v>
      </c>
      <c r="D31">
        <f t="shared" si="0"/>
        <v>9.8708807933816995</v>
      </c>
      <c r="E31">
        <f t="shared" si="1"/>
        <v>0.94260951495747769</v>
      </c>
    </row>
    <row r="32" spans="1:5" x14ac:dyDescent="0.25">
      <c r="A32">
        <v>15</v>
      </c>
      <c r="B32" t="s">
        <v>35</v>
      </c>
      <c r="C32">
        <v>8.5</v>
      </c>
      <c r="D32">
        <f t="shared" si="0"/>
        <v>9.5975235750420023</v>
      </c>
      <c r="E32">
        <f t="shared" si="1"/>
        <v>1.2045579977729777</v>
      </c>
    </row>
    <row r="33" spans="1:5" x14ac:dyDescent="0.25">
      <c r="A33">
        <v>15.5</v>
      </c>
      <c r="B33" t="s">
        <v>36</v>
      </c>
      <c r="C33">
        <v>8.1</v>
      </c>
      <c r="D33">
        <f t="shared" si="0"/>
        <v>9.3368942882424317</v>
      </c>
      <c r="E33">
        <f t="shared" si="1"/>
        <v>1.5299074802867527</v>
      </c>
    </row>
    <row r="34" spans="1:5" x14ac:dyDescent="0.25">
      <c r="A34">
        <v>16</v>
      </c>
      <c r="B34" t="s">
        <v>37</v>
      </c>
      <c r="C34">
        <v>7.7</v>
      </c>
      <c r="D34">
        <f t="shared" si="0"/>
        <v>9.088400300960048</v>
      </c>
      <c r="E34">
        <f t="shared" si="1"/>
        <v>1.9276553957059515</v>
      </c>
    </row>
    <row r="35" spans="1:5" x14ac:dyDescent="0.25">
      <c r="A35">
        <v>16.5</v>
      </c>
      <c r="B35" t="s">
        <v>38</v>
      </c>
      <c r="C35">
        <v>7.3</v>
      </c>
      <c r="D35">
        <f t="shared" si="0"/>
        <v>8.8514765750282649</v>
      </c>
      <c r="E35">
        <f t="shared" si="1"/>
        <v>2.4070795628614357</v>
      </c>
    </row>
    <row r="36" spans="1:5" x14ac:dyDescent="0.25">
      <c r="A36">
        <v>17</v>
      </c>
      <c r="B36" t="s">
        <v>39</v>
      </c>
      <c r="C36">
        <v>7</v>
      </c>
      <c r="D36">
        <f t="shared" si="0"/>
        <v>8.6255843813245612</v>
      </c>
      <c r="E36">
        <f t="shared" si="1"/>
        <v>2.6425245808063562</v>
      </c>
    </row>
    <row r="37" spans="1:5" x14ac:dyDescent="0.25">
      <c r="A37">
        <v>17.5</v>
      </c>
      <c r="B37" t="s">
        <v>40</v>
      </c>
      <c r="C37">
        <v>6.6</v>
      </c>
      <c r="D37">
        <f t="shared" si="0"/>
        <v>8.4102100747810109</v>
      </c>
      <c r="E37">
        <f t="shared" si="1"/>
        <v>3.2768605148386745</v>
      </c>
    </row>
    <row r="38" spans="1:5" x14ac:dyDescent="0.25">
      <c r="A38">
        <v>18</v>
      </c>
      <c r="B38" t="s">
        <v>41</v>
      </c>
      <c r="C38">
        <v>6.3</v>
      </c>
      <c r="D38">
        <f t="shared" si="0"/>
        <v>8.2048639264322141</v>
      </c>
      <c r="E38">
        <f t="shared" si="1"/>
        <v>3.6285065782227521</v>
      </c>
    </row>
    <row r="39" spans="1:5" x14ac:dyDescent="0.25">
      <c r="A39">
        <v>18.5</v>
      </c>
      <c r="B39" t="s">
        <v>42</v>
      </c>
      <c r="C39">
        <v>5.9</v>
      </c>
      <c r="D39">
        <f t="shared" si="0"/>
        <v>8.009079009844875</v>
      </c>
      <c r="E39">
        <f t="shared" si="1"/>
        <v>4.4482142697682363</v>
      </c>
    </row>
    <row r="40" spans="1:5" x14ac:dyDescent="0.25">
      <c r="A40">
        <v>19</v>
      </c>
      <c r="B40" t="s">
        <v>43</v>
      </c>
      <c r="C40">
        <v>5.6</v>
      </c>
      <c r="D40">
        <f t="shared" si="0"/>
        <v>7.8224101393969008</v>
      </c>
      <c r="E40">
        <f t="shared" si="1"/>
        <v>4.9391068276941539</v>
      </c>
    </row>
    <row r="41" spans="1:5" x14ac:dyDescent="0.25">
      <c r="A41">
        <v>19.5</v>
      </c>
      <c r="B41" t="s">
        <v>44</v>
      </c>
      <c r="C41">
        <v>5.3</v>
      </c>
      <c r="D41">
        <f t="shared" si="0"/>
        <v>7.6444328579918848</v>
      </c>
      <c r="E41" s="1">
        <f t="shared" si="1"/>
        <v>5.496365425631998</v>
      </c>
    </row>
    <row r="42" spans="1:5" x14ac:dyDescent="0.25">
      <c r="A42">
        <v>20</v>
      </c>
      <c r="B42" t="s">
        <v>45</v>
      </c>
      <c r="C42">
        <v>5</v>
      </c>
      <c r="D42">
        <f t="shared" si="0"/>
        <v>7.4747424719071383</v>
      </c>
      <c r="E42" s="1">
        <f t="shared" si="1"/>
        <v>6.1243503022610533</v>
      </c>
    </row>
    <row r="43" spans="1:5" x14ac:dyDescent="0.25">
      <c r="A43">
        <v>20.5</v>
      </c>
      <c r="B43" t="s">
        <v>46</v>
      </c>
      <c r="C43">
        <v>4.7</v>
      </c>
      <c r="D43">
        <f t="shared" si="0"/>
        <v>7.3129531305806861</v>
      </c>
      <c r="E43" s="1">
        <f t="shared" si="1"/>
        <v>6.8275240626114071</v>
      </c>
    </row>
    <row r="44" spans="1:5" x14ac:dyDescent="0.25">
      <c r="A44">
        <v>21</v>
      </c>
      <c r="B44" t="s">
        <v>47</v>
      </c>
      <c r="C44">
        <v>4.4000000000000004</v>
      </c>
      <c r="D44">
        <f t="shared" si="0"/>
        <v>7.1586969492447867</v>
      </c>
      <c r="E44" s="1">
        <f t="shared" si="1"/>
        <v>7.6104088577724918</v>
      </c>
    </row>
    <row r="45" spans="1:5" x14ac:dyDescent="0.25">
      <c r="A45" s="1">
        <v>21.5</v>
      </c>
      <c r="B45" s="1" t="s">
        <v>52</v>
      </c>
      <c r="C45" s="1">
        <v>4.0999999999999996</v>
      </c>
    </row>
    <row r="46" spans="1:5" x14ac:dyDescent="0.25">
      <c r="A46" s="1">
        <v>22</v>
      </c>
      <c r="B46" s="1" t="s">
        <v>53</v>
      </c>
      <c r="C46" s="1">
        <v>3.8</v>
      </c>
    </row>
    <row r="47" spans="1:5" x14ac:dyDescent="0.25">
      <c r="A47" s="1">
        <v>22.5</v>
      </c>
      <c r="B47" s="1" t="s">
        <v>54</v>
      </c>
      <c r="C47" s="1">
        <v>3.6</v>
      </c>
      <c r="D47" t="s">
        <v>51</v>
      </c>
      <c r="E47">
        <f>SUM(E2:E44)</f>
        <v>132.21296095077167</v>
      </c>
    </row>
    <row r="48" spans="1:5" x14ac:dyDescent="0.25">
      <c r="A48" s="1">
        <v>23</v>
      </c>
      <c r="B48" s="1" t="s">
        <v>55</v>
      </c>
      <c r="C48" s="1">
        <v>3.3</v>
      </c>
    </row>
    <row r="49" spans="1:3" x14ac:dyDescent="0.25">
      <c r="A49" s="1">
        <v>23.5</v>
      </c>
      <c r="B49" s="1" t="s">
        <v>56</v>
      </c>
      <c r="C49" s="1">
        <v>3</v>
      </c>
    </row>
    <row r="50" spans="1:3" x14ac:dyDescent="0.25">
      <c r="A50" s="1">
        <v>24</v>
      </c>
      <c r="B50" s="1" t="s">
        <v>57</v>
      </c>
      <c r="C50" s="1">
        <v>2.8</v>
      </c>
    </row>
    <row r="51" spans="1:3" x14ac:dyDescent="0.25">
      <c r="A51" s="1">
        <v>24.5</v>
      </c>
      <c r="B51" s="1" t="s">
        <v>58</v>
      </c>
      <c r="C51" s="1">
        <v>2.5</v>
      </c>
    </row>
    <row r="52" spans="1:3" x14ac:dyDescent="0.25">
      <c r="A52" s="1">
        <v>25</v>
      </c>
      <c r="B52" s="1" t="s">
        <v>59</v>
      </c>
      <c r="C52" s="1">
        <v>2.2999999999999998</v>
      </c>
    </row>
    <row r="53" spans="1:3" x14ac:dyDescent="0.25">
      <c r="A53" s="1">
        <v>25.5</v>
      </c>
      <c r="B53" s="1" t="s">
        <v>60</v>
      </c>
      <c r="C53" s="1">
        <v>2.2000000000000002</v>
      </c>
    </row>
    <row r="54" spans="1:3" x14ac:dyDescent="0.25">
      <c r="A54" s="1">
        <v>26</v>
      </c>
      <c r="B54" s="1" t="s">
        <v>61</v>
      </c>
      <c r="C54" s="1">
        <v>2.2000000000000002</v>
      </c>
    </row>
    <row r="55" spans="1:3" x14ac:dyDescent="0.25">
      <c r="A55" s="1">
        <v>26.5</v>
      </c>
      <c r="B55" s="1" t="s">
        <v>62</v>
      </c>
      <c r="C55" s="1">
        <v>2.2999999999999998</v>
      </c>
    </row>
    <row r="56" spans="1:3" x14ac:dyDescent="0.25">
      <c r="A56" s="1">
        <v>27</v>
      </c>
      <c r="B56" s="1" t="s">
        <v>63</v>
      </c>
      <c r="C56" s="1">
        <v>2.2999999999999998</v>
      </c>
    </row>
    <row r="57" spans="1:3" x14ac:dyDescent="0.25">
      <c r="A57" s="1">
        <v>27.5</v>
      </c>
      <c r="B57" s="1" t="s">
        <v>64</v>
      </c>
      <c r="C57" s="1">
        <v>2.5</v>
      </c>
    </row>
    <row r="58" spans="1:3" x14ac:dyDescent="0.25">
      <c r="A58" s="1">
        <v>28</v>
      </c>
      <c r="B58" s="1" t="s">
        <v>65</v>
      </c>
      <c r="C58" s="1">
        <v>2.6</v>
      </c>
    </row>
    <row r="59" spans="1:3" x14ac:dyDescent="0.25">
      <c r="A59" s="1">
        <v>28.5</v>
      </c>
      <c r="B59" s="1" t="s">
        <v>66</v>
      </c>
      <c r="C59" s="1">
        <v>2.9</v>
      </c>
    </row>
    <row r="60" spans="1:3" x14ac:dyDescent="0.25">
      <c r="A60" t="s">
        <v>67</v>
      </c>
    </row>
    <row r="61" spans="1:3" x14ac:dyDescent="0.25">
      <c r="A61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Freight</dc:creator>
  <cp:lastModifiedBy>Personal Freight</cp:lastModifiedBy>
  <dcterms:created xsi:type="dcterms:W3CDTF">2025-04-30T15:56:35Z</dcterms:created>
  <dcterms:modified xsi:type="dcterms:W3CDTF">2025-05-02T15:18:55Z</dcterms:modified>
</cp:coreProperties>
</file>