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ZEN5 2\Desktop\Datos modelo de descenso\Isuzu 3\"/>
    </mc:Choice>
  </mc:AlternateContent>
  <xr:revisionPtr revIDLastSave="0" documentId="13_ncr:1_{5461CCBD-4709-48D4-9F9C-259BD04D8ED2}" xr6:coauthVersionLast="47" xr6:coauthVersionMax="47" xr10:uidLastSave="{00000000-0000-0000-0000-000000000000}"/>
  <bookViews>
    <workbookView xWindow="-120" yWindow="-120" windowWidth="29040" windowHeight="15840" activeTab="1" xr2:uid="{DC7EA8A1-1A6F-43F9-BF1C-6BB4B4F3E9EA}"/>
  </bookViews>
  <sheets>
    <sheet name="TZ0323110038" sheetId="1" r:id="rId1"/>
    <sheet name="Hoja1" sheetId="2" r:id="rId2"/>
  </sheets>
  <definedNames>
    <definedName name="solver_adj" localSheetId="1" hidden="1">Hoja1!$H$5</definedName>
    <definedName name="solver_eng" localSheetId="1" hidden="1">0</definedName>
    <definedName name="solver_neg" localSheetId="1" hidden="1">1</definedName>
    <definedName name="solver_opt" localSheetId="1" hidden="1">Hoja1!$E$60</definedName>
    <definedName name="solver_rxv" localSheetId="1" hidden="1">1</definedName>
    <definedName name="solver_typ" localSheetId="1" hidden="1">2</definedName>
    <definedName name="solver_val" localSheetId="1" hidden="1">0</definedName>
  </definedNames>
  <calcPr calcId="191029"/>
</workbook>
</file>

<file path=xl/calcChain.xml><?xml version="1.0" encoding="utf-8"?>
<calcChain xmlns="http://schemas.openxmlformats.org/spreadsheetml/2006/main">
  <c r="H15" i="2" l="1"/>
  <c r="E23" i="2" l="1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D21" i="2"/>
  <c r="E21" i="2" s="1"/>
  <c r="D22" i="2"/>
  <c r="E22" i="2" s="1"/>
  <c r="D23" i="2"/>
  <c r="D24" i="2"/>
  <c r="E24" i="2" s="1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40" i="2"/>
  <c r="E40" i="2" s="1"/>
  <c r="D41" i="2"/>
  <c r="E41" i="2" s="1"/>
  <c r="D42" i="2"/>
  <c r="E42" i="2" s="1"/>
  <c r="D43" i="2"/>
  <c r="E43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E50" i="2" s="1"/>
  <c r="D51" i="2"/>
  <c r="E51" i="2" s="1"/>
  <c r="D52" i="2"/>
  <c r="E52" i="2" s="1"/>
  <c r="D53" i="2"/>
  <c r="E53" i="2" s="1"/>
  <c r="D54" i="2"/>
  <c r="E54" i="2" s="1"/>
  <c r="D55" i="2"/>
  <c r="E55" i="2" s="1"/>
  <c r="D56" i="2"/>
  <c r="E56" i="2" s="1"/>
  <c r="D57" i="2"/>
  <c r="E57" i="2" s="1"/>
  <c r="D58" i="2"/>
  <c r="E58" i="2" s="1"/>
  <c r="D3" i="2"/>
  <c r="E3" i="2" s="1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2" i="2"/>
  <c r="E2" i="2" s="1"/>
  <c r="E60" i="2" l="1"/>
</calcChain>
</file>

<file path=xl/sharedStrings.xml><?xml version="1.0" encoding="utf-8"?>
<sst xmlns="http://schemas.openxmlformats.org/spreadsheetml/2006/main" count="234" uniqueCount="157">
  <si>
    <t>Device Information</t>
  </si>
  <si>
    <t>******************************</t>
  </si>
  <si>
    <t>Device Type:    TZ-TempU03</t>
  </si>
  <si>
    <t>Firmware Ver:   4.05</t>
  </si>
  <si>
    <t>ID:             TZ0323110038</t>
  </si>
  <si>
    <t>Start Delay:    0 min</t>
  </si>
  <si>
    <t>Log Interval:   30 sec</t>
  </si>
  <si>
    <t>Description:    Pruebas termicas</t>
  </si>
  <si>
    <t>Note:</t>
  </si>
  <si>
    <t>All times shown are based on UTC-6:00 and 24-Hour clock[DD/MM/YY HH:MM:SS]</t>
  </si>
  <si>
    <t>Logging Summary</t>
  </si>
  <si>
    <t>First Point:   29/04/25 12:49:51</t>
  </si>
  <si>
    <t>Stop Time:     29/04/25 13:40:51</t>
  </si>
  <si>
    <t>Number of Points:   103</t>
  </si>
  <si>
    <t>Trip Length:   00d 00h 51m 00s</t>
  </si>
  <si>
    <t>Start Mode:    Button Start</t>
  </si>
  <si>
    <t>Stop Mode:     USB Stop</t>
  </si>
  <si>
    <t>Max:    29.2C(Temp)/83.8%RH(Humidity)</t>
  </si>
  <si>
    <t>Min:    5.3C(Temp)/30.9%RH(Humidity)</t>
  </si>
  <si>
    <t>Average:17.9C(Temp)/38.3%RH(Humidity)</t>
  </si>
  <si>
    <t>MKT:    21.1C</t>
  </si>
  <si>
    <t>Marked Events</t>
  </si>
  <si>
    <t>N/A</t>
  </si>
  <si>
    <t xml:space="preserve">Alarm Condition	 </t>
  </si>
  <si>
    <t xml:space="preserve">Alarm Delay	 </t>
  </si>
  <si>
    <t xml:space="preserve">First Point Time	  </t>
  </si>
  <si>
    <t xml:space="preserve">Time of Violations 	</t>
  </si>
  <si>
    <t xml:space="preserve">No.of Violations	  </t>
  </si>
  <si>
    <t>Status</t>
  </si>
  <si>
    <t>Over 8.0C</t>
  </si>
  <si>
    <t>00d 00h 10m 00s</t>
  </si>
  <si>
    <t xml:space="preserve"> 29/04/25 12:49:51</t>
  </si>
  <si>
    <t>00d 00h 42m 30s</t>
  </si>
  <si>
    <t>Alarm</t>
  </si>
  <si>
    <t>Below 2.0C</t>
  </si>
  <si>
    <t>00/00/00 00:00:00</t>
  </si>
  <si>
    <t>00d 00h 00m 00s</t>
  </si>
  <si>
    <t>OK</t>
  </si>
  <si>
    <t>Over 90.0%RH</t>
  </si>
  <si>
    <t>Below 15.0%RH</t>
  </si>
  <si>
    <t>Date</t>
  </si>
  <si>
    <t>Time</t>
  </si>
  <si>
    <t>Temperature(C)</t>
  </si>
  <si>
    <t>Humidity(%RH)</t>
  </si>
  <si>
    <t xml:space="preserve"> 12:49:51</t>
  </si>
  <si>
    <t xml:space="preserve"> 12:50:21</t>
  </si>
  <si>
    <t xml:space="preserve"> 12:50:51</t>
  </si>
  <si>
    <t xml:space="preserve"> 12:51:21</t>
  </si>
  <si>
    <t xml:space="preserve"> 12:51:51</t>
  </si>
  <si>
    <t xml:space="preserve"> 12:52:21</t>
  </si>
  <si>
    <t xml:space="preserve"> 12:52:51</t>
  </si>
  <si>
    <t xml:space="preserve"> 12:53:21</t>
  </si>
  <si>
    <t xml:space="preserve"> 12:53:51</t>
  </si>
  <si>
    <t xml:space="preserve"> 12:54:21</t>
  </si>
  <si>
    <t xml:space="preserve"> 12:54:51</t>
  </si>
  <si>
    <t xml:space="preserve"> 12:55:21</t>
  </si>
  <si>
    <t xml:space="preserve"> 12:55:51</t>
  </si>
  <si>
    <t xml:space="preserve"> 12:56:21</t>
  </si>
  <si>
    <t xml:space="preserve"> 12:56:51</t>
  </si>
  <si>
    <t xml:space="preserve"> 12:57:21</t>
  </si>
  <si>
    <t xml:space="preserve"> 12:57:51</t>
  </si>
  <si>
    <t xml:space="preserve"> 12:58:21</t>
  </si>
  <si>
    <t xml:space="preserve"> 12:58:51</t>
  </si>
  <si>
    <t xml:space="preserve"> 12:59:21</t>
  </si>
  <si>
    <t xml:space="preserve"> 12:59:51</t>
  </si>
  <si>
    <t xml:space="preserve"> 13:00:21</t>
  </si>
  <si>
    <t xml:space="preserve"> 13:00:51</t>
  </si>
  <si>
    <t xml:space="preserve"> 13:01:21</t>
  </si>
  <si>
    <t xml:space="preserve"> 13:01:51</t>
  </si>
  <si>
    <t xml:space="preserve"> 13:02:21</t>
  </si>
  <si>
    <t xml:space="preserve"> 13:02:51</t>
  </si>
  <si>
    <t xml:space="preserve"> 13:03:21</t>
  </si>
  <si>
    <t xml:space="preserve"> 13:03:51</t>
  </si>
  <si>
    <t xml:space="preserve"> 13:04:21</t>
  </si>
  <si>
    <t xml:space="preserve"> 13:04:51</t>
  </si>
  <si>
    <t xml:space="preserve"> 13:05:21</t>
  </si>
  <si>
    <t xml:space="preserve"> 13:05:51</t>
  </si>
  <si>
    <t xml:space="preserve"> 13:06:21</t>
  </si>
  <si>
    <t xml:space="preserve"> 13:06:51</t>
  </si>
  <si>
    <t xml:space="preserve"> 13:07:21</t>
  </si>
  <si>
    <t xml:space="preserve"> 13:07:51</t>
  </si>
  <si>
    <t xml:space="preserve"> 13:08:21</t>
  </si>
  <si>
    <t xml:space="preserve"> 13:08:51</t>
  </si>
  <si>
    <t xml:space="preserve"> 13:09:21</t>
  </si>
  <si>
    <t xml:space="preserve"> 13:09:51</t>
  </si>
  <si>
    <t xml:space="preserve"> 13:10:21</t>
  </si>
  <si>
    <t xml:space="preserve"> 13:10:51</t>
  </si>
  <si>
    <t xml:space="preserve"> 13:11:21</t>
  </si>
  <si>
    <t xml:space="preserve"> 13:11:51</t>
  </si>
  <si>
    <t xml:space="preserve"> 13:12:21</t>
  </si>
  <si>
    <t xml:space="preserve"> 13:12:51</t>
  </si>
  <si>
    <t xml:space="preserve"> 13:13:21</t>
  </si>
  <si>
    <t xml:space="preserve"> 13:13:51</t>
  </si>
  <si>
    <t xml:space="preserve"> 13:14:21</t>
  </si>
  <si>
    <t xml:space="preserve"> 13:14:51</t>
  </si>
  <si>
    <t xml:space="preserve"> 13:15:21</t>
  </si>
  <si>
    <t xml:space="preserve"> 13:15:51</t>
  </si>
  <si>
    <t xml:space="preserve"> 13:16:21</t>
  </si>
  <si>
    <t xml:space="preserve"> 13:16:51</t>
  </si>
  <si>
    <t xml:space="preserve"> 13:17:21</t>
  </si>
  <si>
    <t xml:space="preserve"> 13:17:51</t>
  </si>
  <si>
    <t xml:space="preserve"> 13:18:21</t>
  </si>
  <si>
    <t xml:space="preserve"> 13:18:51</t>
  </si>
  <si>
    <t xml:space="preserve"> 13:19:21</t>
  </si>
  <si>
    <t xml:space="preserve"> 13:19:51</t>
  </si>
  <si>
    <t xml:space="preserve"> 13:20:21</t>
  </si>
  <si>
    <t xml:space="preserve"> 13:20:51</t>
  </si>
  <si>
    <t xml:space="preserve"> 13:21:21</t>
  </si>
  <si>
    <t xml:space="preserve"> 13:21:51</t>
  </si>
  <si>
    <t xml:space="preserve"> 13:22:21</t>
  </si>
  <si>
    <t xml:space="preserve"> 13:22:51</t>
  </si>
  <si>
    <t xml:space="preserve"> 13:23:21</t>
  </si>
  <si>
    <t xml:space="preserve"> 13:23:51</t>
  </si>
  <si>
    <t xml:space="preserve"> 13:24:21</t>
  </si>
  <si>
    <t xml:space="preserve"> 13:24:51</t>
  </si>
  <si>
    <t xml:space="preserve"> 13:25:21</t>
  </si>
  <si>
    <t xml:space="preserve"> 13:25:51</t>
  </si>
  <si>
    <t xml:space="preserve"> 13:26:21</t>
  </si>
  <si>
    <t xml:space="preserve"> 13:26:51</t>
  </si>
  <si>
    <t xml:space="preserve"> 13:27:21</t>
  </si>
  <si>
    <t xml:space="preserve"> 13:27:51</t>
  </si>
  <si>
    <t xml:space="preserve"> 13:28:21</t>
  </si>
  <si>
    <t xml:space="preserve"> 13:28:51</t>
  </si>
  <si>
    <t xml:space="preserve"> 13:29:21</t>
  </si>
  <si>
    <t xml:space="preserve"> 13:29:51</t>
  </si>
  <si>
    <t xml:space="preserve"> 13:30:21</t>
  </si>
  <si>
    <t xml:space="preserve"> 13:30:51</t>
  </si>
  <si>
    <t xml:space="preserve"> 13:31:21</t>
  </si>
  <si>
    <t xml:space="preserve"> 13:31:51</t>
  </si>
  <si>
    <t xml:space="preserve"> 13:32:21</t>
  </si>
  <si>
    <t xml:space="preserve"> 13:32:51</t>
  </si>
  <si>
    <t xml:space="preserve"> 13:33:21</t>
  </si>
  <si>
    <t xml:space="preserve"> 13:33:51</t>
  </si>
  <si>
    <t xml:space="preserve"> 13:34:21</t>
  </si>
  <si>
    <t xml:space="preserve"> 13:34:51</t>
  </si>
  <si>
    <t xml:space="preserve"> 13:35:21</t>
  </si>
  <si>
    <t xml:space="preserve"> 13:35:51</t>
  </si>
  <si>
    <t xml:space="preserve"> 13:36:21</t>
  </si>
  <si>
    <t xml:space="preserve"> 13:36:51</t>
  </si>
  <si>
    <t xml:space="preserve"> 13:37:21</t>
  </si>
  <si>
    <t xml:space="preserve"> 13:37:51</t>
  </si>
  <si>
    <t xml:space="preserve"> 13:38:21</t>
  </si>
  <si>
    <t xml:space="preserve"> 13:38:51</t>
  </si>
  <si>
    <t xml:space="preserve"> 13:39:21</t>
  </si>
  <si>
    <t xml:space="preserve"> 13:39:51</t>
  </si>
  <si>
    <t xml:space="preserve"> 13:40:21</t>
  </si>
  <si>
    <t xml:space="preserve"> 13:40:51</t>
  </si>
  <si>
    <t>Temp</t>
  </si>
  <si>
    <t>Min</t>
  </si>
  <si>
    <t>k</t>
  </si>
  <si>
    <t>Modelo de enfriamiento</t>
  </si>
  <si>
    <t>T_objetivo</t>
  </si>
  <si>
    <t>T_ambiente</t>
  </si>
  <si>
    <t>27.4 + (27.3 - 27.4) * EXP(-H2 * A2)</t>
  </si>
  <si>
    <t>Temp_modelo</t>
  </si>
  <si>
    <t>error</t>
  </si>
  <si>
    <t>suma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</si>
</sst>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4.9401810627909257E-2"/>
          <c:y val="8.3452137752302369E-2"/>
          <c:w val="0.92799793468439395"/>
          <c:h val="0.8329146892755787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1.2337223971254824E-2"/>
                  <c:y val="-0.193451146062661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strRef>
              <c:f>Hoja1!$B$2:$B$58</c:f>
              <c:strCache>
                <c:ptCount val="57"/>
                <c:pt idx="0">
                  <c:v> 12:53:51</c:v>
                </c:pt>
                <c:pt idx="1">
                  <c:v> 12:54:21</c:v>
                </c:pt>
                <c:pt idx="2">
                  <c:v> 12:54:51</c:v>
                </c:pt>
                <c:pt idx="3">
                  <c:v> 12:55:21</c:v>
                </c:pt>
                <c:pt idx="4">
                  <c:v> 12:55:51</c:v>
                </c:pt>
                <c:pt idx="5">
                  <c:v> 12:56:21</c:v>
                </c:pt>
                <c:pt idx="6">
                  <c:v> 12:56:51</c:v>
                </c:pt>
                <c:pt idx="7">
                  <c:v> 12:57:21</c:v>
                </c:pt>
                <c:pt idx="8">
                  <c:v> 12:57:51</c:v>
                </c:pt>
                <c:pt idx="9">
                  <c:v> 12:58:21</c:v>
                </c:pt>
                <c:pt idx="10">
                  <c:v> 12:58:51</c:v>
                </c:pt>
                <c:pt idx="11">
                  <c:v> 12:59:21</c:v>
                </c:pt>
                <c:pt idx="12">
                  <c:v> 12:59:51</c:v>
                </c:pt>
                <c:pt idx="13">
                  <c:v> 13:00:21</c:v>
                </c:pt>
                <c:pt idx="14">
                  <c:v> 13:00:51</c:v>
                </c:pt>
                <c:pt idx="15">
                  <c:v> 13:01:21</c:v>
                </c:pt>
                <c:pt idx="16">
                  <c:v> 13:01:51</c:v>
                </c:pt>
                <c:pt idx="17">
                  <c:v> 13:02:21</c:v>
                </c:pt>
                <c:pt idx="18">
                  <c:v> 13:02:51</c:v>
                </c:pt>
                <c:pt idx="19">
                  <c:v> 13:03:21</c:v>
                </c:pt>
                <c:pt idx="20">
                  <c:v> 13:03:51</c:v>
                </c:pt>
                <c:pt idx="21">
                  <c:v> 13:04:21</c:v>
                </c:pt>
                <c:pt idx="22">
                  <c:v> 13:04:51</c:v>
                </c:pt>
                <c:pt idx="23">
                  <c:v> 13:05:21</c:v>
                </c:pt>
                <c:pt idx="24">
                  <c:v> 13:05:51</c:v>
                </c:pt>
                <c:pt idx="25">
                  <c:v> 13:06:21</c:v>
                </c:pt>
                <c:pt idx="26">
                  <c:v> 13:06:51</c:v>
                </c:pt>
                <c:pt idx="27">
                  <c:v> 13:07:21</c:v>
                </c:pt>
                <c:pt idx="28">
                  <c:v> 13:07:51</c:v>
                </c:pt>
                <c:pt idx="29">
                  <c:v> 13:08:21</c:v>
                </c:pt>
                <c:pt idx="30">
                  <c:v> 13:08:51</c:v>
                </c:pt>
                <c:pt idx="31">
                  <c:v> 13:09:21</c:v>
                </c:pt>
                <c:pt idx="32">
                  <c:v> 13:09:51</c:v>
                </c:pt>
                <c:pt idx="33">
                  <c:v> 13:10:21</c:v>
                </c:pt>
                <c:pt idx="34">
                  <c:v> 13:10:51</c:v>
                </c:pt>
                <c:pt idx="35">
                  <c:v> 13:11:21</c:v>
                </c:pt>
                <c:pt idx="36">
                  <c:v> 13:11:51</c:v>
                </c:pt>
                <c:pt idx="37">
                  <c:v> 13:12:21</c:v>
                </c:pt>
                <c:pt idx="38">
                  <c:v> 13:12:51</c:v>
                </c:pt>
                <c:pt idx="39">
                  <c:v> 13:13:21</c:v>
                </c:pt>
                <c:pt idx="40">
                  <c:v> 13:13:51</c:v>
                </c:pt>
                <c:pt idx="41">
                  <c:v> 13:14:21</c:v>
                </c:pt>
                <c:pt idx="42">
                  <c:v> 13:14:51</c:v>
                </c:pt>
                <c:pt idx="43">
                  <c:v> 13:15:21</c:v>
                </c:pt>
                <c:pt idx="44">
                  <c:v> 13:15:51</c:v>
                </c:pt>
                <c:pt idx="45">
                  <c:v> 13:16:21</c:v>
                </c:pt>
                <c:pt idx="46">
                  <c:v> 13:16:51</c:v>
                </c:pt>
                <c:pt idx="47">
                  <c:v> 13:17:21</c:v>
                </c:pt>
                <c:pt idx="48">
                  <c:v> 13:17:51</c:v>
                </c:pt>
                <c:pt idx="49">
                  <c:v> 13:18:21</c:v>
                </c:pt>
                <c:pt idx="50">
                  <c:v> 13:18:51</c:v>
                </c:pt>
                <c:pt idx="51">
                  <c:v> 13:19:21</c:v>
                </c:pt>
                <c:pt idx="52">
                  <c:v> 13:19:51</c:v>
                </c:pt>
                <c:pt idx="53">
                  <c:v> 13:20:21</c:v>
                </c:pt>
                <c:pt idx="54">
                  <c:v> 13:20:51</c:v>
                </c:pt>
                <c:pt idx="55">
                  <c:v> 13:21:21</c:v>
                </c:pt>
                <c:pt idx="56">
                  <c:v> 13:21:51</c:v>
                </c:pt>
              </c:strCache>
            </c:strRef>
          </c:xVal>
          <c:yVal>
            <c:numRef>
              <c:f>Hoja1!$C$2:$C$58</c:f>
              <c:numCache>
                <c:formatCode>General</c:formatCode>
                <c:ptCount val="57"/>
                <c:pt idx="0">
                  <c:v>28</c:v>
                </c:pt>
                <c:pt idx="1">
                  <c:v>27.4</c:v>
                </c:pt>
                <c:pt idx="2">
                  <c:v>26.5</c:v>
                </c:pt>
                <c:pt idx="3">
                  <c:v>25.6</c:v>
                </c:pt>
                <c:pt idx="4">
                  <c:v>24.7</c:v>
                </c:pt>
                <c:pt idx="5">
                  <c:v>23.8</c:v>
                </c:pt>
                <c:pt idx="6">
                  <c:v>23</c:v>
                </c:pt>
                <c:pt idx="7">
                  <c:v>22.2</c:v>
                </c:pt>
                <c:pt idx="8">
                  <c:v>21.4</c:v>
                </c:pt>
                <c:pt idx="9">
                  <c:v>20.6</c:v>
                </c:pt>
                <c:pt idx="10">
                  <c:v>19.899999999999999</c:v>
                </c:pt>
                <c:pt idx="11">
                  <c:v>19.2</c:v>
                </c:pt>
                <c:pt idx="12">
                  <c:v>18.5</c:v>
                </c:pt>
                <c:pt idx="13">
                  <c:v>17.8</c:v>
                </c:pt>
                <c:pt idx="14">
                  <c:v>17.2</c:v>
                </c:pt>
                <c:pt idx="15">
                  <c:v>16.600000000000001</c:v>
                </c:pt>
                <c:pt idx="16">
                  <c:v>16.100000000000001</c:v>
                </c:pt>
                <c:pt idx="17">
                  <c:v>15.6</c:v>
                </c:pt>
                <c:pt idx="18">
                  <c:v>15.1</c:v>
                </c:pt>
                <c:pt idx="19">
                  <c:v>14.5</c:v>
                </c:pt>
                <c:pt idx="20">
                  <c:v>14.1</c:v>
                </c:pt>
                <c:pt idx="21">
                  <c:v>13.7</c:v>
                </c:pt>
                <c:pt idx="22">
                  <c:v>13.3</c:v>
                </c:pt>
                <c:pt idx="23">
                  <c:v>12.8</c:v>
                </c:pt>
                <c:pt idx="24">
                  <c:v>12.5</c:v>
                </c:pt>
                <c:pt idx="25">
                  <c:v>12.1</c:v>
                </c:pt>
                <c:pt idx="26">
                  <c:v>11.8</c:v>
                </c:pt>
                <c:pt idx="27">
                  <c:v>11.4</c:v>
                </c:pt>
                <c:pt idx="28">
                  <c:v>11.1</c:v>
                </c:pt>
                <c:pt idx="29">
                  <c:v>10.9</c:v>
                </c:pt>
                <c:pt idx="30">
                  <c:v>10.5</c:v>
                </c:pt>
                <c:pt idx="31">
                  <c:v>10.3</c:v>
                </c:pt>
                <c:pt idx="32">
                  <c:v>10</c:v>
                </c:pt>
                <c:pt idx="33">
                  <c:v>9.6999999999999993</c:v>
                </c:pt>
                <c:pt idx="34">
                  <c:v>9.5</c:v>
                </c:pt>
                <c:pt idx="35">
                  <c:v>9.1999999999999993</c:v>
                </c:pt>
                <c:pt idx="36">
                  <c:v>9</c:v>
                </c:pt>
                <c:pt idx="37">
                  <c:v>8.6999999999999993</c:v>
                </c:pt>
                <c:pt idx="38">
                  <c:v>8.5</c:v>
                </c:pt>
                <c:pt idx="39">
                  <c:v>8.3000000000000007</c:v>
                </c:pt>
                <c:pt idx="40">
                  <c:v>8</c:v>
                </c:pt>
                <c:pt idx="41">
                  <c:v>7.8</c:v>
                </c:pt>
                <c:pt idx="42">
                  <c:v>7.6</c:v>
                </c:pt>
                <c:pt idx="43">
                  <c:v>7.4</c:v>
                </c:pt>
                <c:pt idx="44">
                  <c:v>7.2</c:v>
                </c:pt>
                <c:pt idx="45">
                  <c:v>7</c:v>
                </c:pt>
                <c:pt idx="46">
                  <c:v>6.7</c:v>
                </c:pt>
                <c:pt idx="47">
                  <c:v>6.5</c:v>
                </c:pt>
                <c:pt idx="48">
                  <c:v>6.3</c:v>
                </c:pt>
                <c:pt idx="49">
                  <c:v>6.1</c:v>
                </c:pt>
                <c:pt idx="50">
                  <c:v>6</c:v>
                </c:pt>
                <c:pt idx="51">
                  <c:v>5.8</c:v>
                </c:pt>
                <c:pt idx="52">
                  <c:v>5.6</c:v>
                </c:pt>
                <c:pt idx="53">
                  <c:v>5.4</c:v>
                </c:pt>
                <c:pt idx="54">
                  <c:v>5.3</c:v>
                </c:pt>
                <c:pt idx="55">
                  <c:v>5.3</c:v>
                </c:pt>
                <c:pt idx="56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67-4778-B58A-6B0CD7285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508944"/>
        <c:axId val="1719519984"/>
      </c:scatterChart>
      <c:valAx>
        <c:axId val="171950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19519984"/>
        <c:crosses val="autoZero"/>
        <c:crossBetween val="midCat"/>
      </c:valAx>
      <c:valAx>
        <c:axId val="171951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1950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658852</xdr:colOff>
      <xdr:row>16</xdr:row>
      <xdr:rowOff>62493</xdr:rowOff>
    </xdr:from>
    <xdr:to>
      <xdr:col>14</xdr:col>
      <xdr:colOff>496925</xdr:colOff>
      <xdr:row>36</xdr:row>
      <xdr:rowOff>33918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641AA63-3DB0-BDA3-ABC0-E42425696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226990</xdr:colOff>
      <xdr:row>5</xdr:row>
      <xdr:rowOff>87361</xdr:rowOff>
    </xdr:from>
    <xdr:ext cx="2994089" cy="24814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BC907BC0-1E03-420D-84FC-DD26BE58D9DA}"/>
                </a:ext>
              </a:extLst>
            </xdr:cNvPr>
            <xdr:cNvSpPr txBox="1"/>
          </xdr:nvSpPr>
          <xdr:spPr>
            <a:xfrm>
              <a:off x="9837715" y="849361"/>
              <a:ext cx="2994089" cy="2481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400" b="0" i="1">
                        <a:latin typeface="Cambria Math" panose="02040503050406030204" pitchFamily="18" charset="0"/>
                      </a:rPr>
                      <m:t>𝑇</m:t>
                    </m:r>
                    <m:d>
                      <m:d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𝑜𝑏𝑗𝑒𝑡𝑖𝑣𝑜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E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E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𝑜𝑏𝑗𝑒𝑡𝑖𝑣𝑜</m:t>
                            </m:r>
                          </m:sub>
                        </m:sSub>
                      </m:e>
                    </m:d>
                    <m:sSup>
                      <m:sSup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𝑘𝑡</m:t>
                        </m:r>
                      </m:sup>
                    </m:sSup>
                  </m:oMath>
                </m:oMathPara>
              </a14:m>
              <a:endParaRPr lang="es-MX" sz="1400"/>
            </a:p>
          </xdr:txBody>
        </xdr:sp>
      </mc:Choice>
      <mc:Fallback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BC907BC0-1E03-420D-84FC-DD26BE58D9DA}"/>
                </a:ext>
              </a:extLst>
            </xdr:cNvPr>
            <xdr:cNvSpPr txBox="1"/>
          </xdr:nvSpPr>
          <xdr:spPr>
            <a:xfrm>
              <a:off x="9837715" y="849361"/>
              <a:ext cx="2994089" cy="2481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𝑇(𝑡)=𝑇_𝑜𝑏𝑗𝑒𝑡𝑖𝑣𝑜+(𝑇_0−𝑇_𝑜𝑏𝑗𝑒𝑡𝑖𝑣𝑜 ) 𝑒^(−𝑘𝑡)</a:t>
              </a:r>
              <a:endParaRPr lang="es-MX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906AEA5-FB23-4807-BE06-C1D718EECCB3}">
  <we:reference id="wa104100404" version="3.0.0.1" store="es-ES" storeType="OMEX"/>
  <we:alternateReferences>
    <we:reference id="wa104100404" version="3.0.0.1" store="wa104100404" storeType="OMEX"/>
  </we:alternateReferences>
  <we:properties>
    <we:property name="UniqueID" value="&quot;20253301746027878958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2727-1648-4884-A95A-F8FB92E3CFBB}">
  <dimension ref="A1:F140"/>
  <sheetViews>
    <sheetView topLeftCell="A94" workbookViewId="0">
      <selection activeCell="B46" sqref="B46:C10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2" spans="1:1" x14ac:dyDescent="0.25">
      <c r="A12" t="s">
        <v>10</v>
      </c>
    </row>
    <row r="13" spans="1:1" x14ac:dyDescent="0.25">
      <c r="A13" t="s">
        <v>1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6" x14ac:dyDescent="0.25">
      <c r="A17" t="s">
        <v>14</v>
      </c>
    </row>
    <row r="18" spans="1:6" x14ac:dyDescent="0.25">
      <c r="A18" t="s">
        <v>15</v>
      </c>
    </row>
    <row r="19" spans="1:6" x14ac:dyDescent="0.25">
      <c r="A19" t="s">
        <v>16</v>
      </c>
    </row>
    <row r="20" spans="1:6" x14ac:dyDescent="0.25">
      <c r="A20" t="s">
        <v>17</v>
      </c>
    </row>
    <row r="21" spans="1:6" x14ac:dyDescent="0.25">
      <c r="A21" t="s">
        <v>18</v>
      </c>
    </row>
    <row r="22" spans="1:6" x14ac:dyDescent="0.25">
      <c r="A22" t="s">
        <v>19</v>
      </c>
    </row>
    <row r="23" spans="1:6" x14ac:dyDescent="0.25">
      <c r="A23" t="s">
        <v>20</v>
      </c>
    </row>
    <row r="25" spans="1:6" x14ac:dyDescent="0.25">
      <c r="A25" t="s">
        <v>21</v>
      </c>
    </row>
    <row r="26" spans="1:6" x14ac:dyDescent="0.25">
      <c r="A26" t="s">
        <v>1</v>
      </c>
    </row>
    <row r="27" spans="1:6" x14ac:dyDescent="0.25">
      <c r="A27" t="s">
        <v>22</v>
      </c>
    </row>
    <row r="29" spans="1:6" x14ac:dyDescent="0.25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t="s">
        <v>28</v>
      </c>
    </row>
    <row r="30" spans="1:6" x14ac:dyDescent="0.25">
      <c r="A30" t="s">
        <v>1</v>
      </c>
      <c r="B30" t="s">
        <v>1</v>
      </c>
      <c r="C30" t="s">
        <v>1</v>
      </c>
      <c r="D30" t="s">
        <v>1</v>
      </c>
    </row>
    <row r="31" spans="1:6" x14ac:dyDescent="0.25">
      <c r="A31" t="s">
        <v>29</v>
      </c>
      <c r="B31" t="s">
        <v>30</v>
      </c>
      <c r="C31" t="s">
        <v>31</v>
      </c>
      <c r="D31" t="s">
        <v>32</v>
      </c>
      <c r="E31">
        <v>86</v>
      </c>
      <c r="F31" t="s">
        <v>33</v>
      </c>
    </row>
    <row r="32" spans="1:6" x14ac:dyDescent="0.25">
      <c r="A32" t="s">
        <v>34</v>
      </c>
      <c r="B32" t="s">
        <v>30</v>
      </c>
      <c r="C32" t="s">
        <v>35</v>
      </c>
      <c r="D32" t="s">
        <v>36</v>
      </c>
      <c r="E32">
        <v>0</v>
      </c>
      <c r="F32" t="s">
        <v>37</v>
      </c>
    </row>
    <row r="33" spans="1:6" x14ac:dyDescent="0.25">
      <c r="A33" t="s">
        <v>38</v>
      </c>
      <c r="B33" t="s">
        <v>30</v>
      </c>
      <c r="C33" t="s">
        <v>35</v>
      </c>
      <c r="D33" t="s">
        <v>36</v>
      </c>
      <c r="E33">
        <v>0</v>
      </c>
      <c r="F33" t="s">
        <v>37</v>
      </c>
    </row>
    <row r="34" spans="1:6" x14ac:dyDescent="0.25">
      <c r="A34" t="s">
        <v>39</v>
      </c>
      <c r="B34" t="s">
        <v>30</v>
      </c>
      <c r="C34" t="s">
        <v>35</v>
      </c>
      <c r="D34" t="s">
        <v>36</v>
      </c>
      <c r="E34">
        <v>0</v>
      </c>
      <c r="F34" t="s">
        <v>37</v>
      </c>
    </row>
    <row r="36" spans="1:6" x14ac:dyDescent="0.25">
      <c r="A36" t="s">
        <v>40</v>
      </c>
      <c r="B36" t="s">
        <v>41</v>
      </c>
      <c r="C36" t="s">
        <v>42</v>
      </c>
      <c r="D36" t="s">
        <v>43</v>
      </c>
    </row>
    <row r="37" spans="1:6" x14ac:dyDescent="0.25">
      <c r="A37" t="s">
        <v>1</v>
      </c>
      <c r="B37" t="s">
        <v>1</v>
      </c>
      <c r="C37" t="s">
        <v>1</v>
      </c>
      <c r="D37" t="s">
        <v>1</v>
      </c>
    </row>
    <row r="38" spans="1:6" x14ac:dyDescent="0.25">
      <c r="A38" s="1">
        <v>45776</v>
      </c>
      <c r="B38" t="s">
        <v>44</v>
      </c>
      <c r="C38">
        <v>29.2</v>
      </c>
      <c r="D38">
        <v>35.4</v>
      </c>
    </row>
    <row r="39" spans="1:6" x14ac:dyDescent="0.25">
      <c r="A39" s="1">
        <v>45776</v>
      </c>
      <c r="B39" t="s">
        <v>45</v>
      </c>
      <c r="C39">
        <v>29.1</v>
      </c>
      <c r="D39">
        <v>34.4</v>
      </c>
    </row>
    <row r="40" spans="1:6" x14ac:dyDescent="0.25">
      <c r="A40" s="1">
        <v>45776</v>
      </c>
      <c r="B40" t="s">
        <v>46</v>
      </c>
      <c r="C40">
        <v>29.1</v>
      </c>
      <c r="D40">
        <v>33.5</v>
      </c>
    </row>
    <row r="41" spans="1:6" x14ac:dyDescent="0.25">
      <c r="A41" s="1">
        <v>45776</v>
      </c>
      <c r="B41" t="s">
        <v>47</v>
      </c>
      <c r="C41">
        <v>28.9</v>
      </c>
      <c r="D41">
        <v>32.700000000000003</v>
      </c>
    </row>
    <row r="42" spans="1:6" x14ac:dyDescent="0.25">
      <c r="A42" s="1">
        <v>45776</v>
      </c>
      <c r="B42" t="s">
        <v>48</v>
      </c>
      <c r="C42">
        <v>28.8</v>
      </c>
      <c r="D42">
        <v>32.5</v>
      </c>
    </row>
    <row r="43" spans="1:6" x14ac:dyDescent="0.25">
      <c r="A43" s="1">
        <v>45776</v>
      </c>
      <c r="B43" t="s">
        <v>49</v>
      </c>
      <c r="C43">
        <v>28.7</v>
      </c>
      <c r="D43">
        <v>32.5</v>
      </c>
    </row>
    <row r="44" spans="1:6" x14ac:dyDescent="0.25">
      <c r="A44" s="1">
        <v>45776</v>
      </c>
      <c r="B44" t="s">
        <v>50</v>
      </c>
      <c r="C44">
        <v>28.5</v>
      </c>
      <c r="D44">
        <v>32.5</v>
      </c>
    </row>
    <row r="45" spans="1:6" x14ac:dyDescent="0.25">
      <c r="A45" s="1">
        <v>45776</v>
      </c>
      <c r="B45" t="s">
        <v>51</v>
      </c>
      <c r="C45">
        <v>28.4</v>
      </c>
      <c r="D45">
        <v>31.2</v>
      </c>
    </row>
    <row r="46" spans="1:6" x14ac:dyDescent="0.25">
      <c r="A46" s="1">
        <v>45776</v>
      </c>
      <c r="B46" t="s">
        <v>52</v>
      </c>
      <c r="C46">
        <v>28</v>
      </c>
      <c r="D46">
        <v>30.9</v>
      </c>
    </row>
    <row r="47" spans="1:6" x14ac:dyDescent="0.25">
      <c r="A47" s="1">
        <v>45776</v>
      </c>
      <c r="B47" t="s">
        <v>53</v>
      </c>
      <c r="C47">
        <v>27.4</v>
      </c>
      <c r="D47">
        <v>30.9</v>
      </c>
    </row>
    <row r="48" spans="1:6" x14ac:dyDescent="0.25">
      <c r="A48" s="1">
        <v>45776</v>
      </c>
      <c r="B48" t="s">
        <v>54</v>
      </c>
      <c r="C48">
        <v>26.5</v>
      </c>
      <c r="D48">
        <v>31.3</v>
      </c>
    </row>
    <row r="49" spans="1:4" x14ac:dyDescent="0.25">
      <c r="A49" s="1">
        <v>45776</v>
      </c>
      <c r="B49" t="s">
        <v>55</v>
      </c>
      <c r="C49">
        <v>25.6</v>
      </c>
      <c r="D49">
        <v>32</v>
      </c>
    </row>
    <row r="50" spans="1:4" x14ac:dyDescent="0.25">
      <c r="A50" s="1">
        <v>45776</v>
      </c>
      <c r="B50" t="s">
        <v>56</v>
      </c>
      <c r="C50">
        <v>24.7</v>
      </c>
      <c r="D50">
        <v>32.6</v>
      </c>
    </row>
    <row r="51" spans="1:4" x14ac:dyDescent="0.25">
      <c r="A51" s="1">
        <v>45776</v>
      </c>
      <c r="B51" t="s">
        <v>57</v>
      </c>
      <c r="C51">
        <v>23.8</v>
      </c>
      <c r="D51">
        <v>33.5</v>
      </c>
    </row>
    <row r="52" spans="1:4" x14ac:dyDescent="0.25">
      <c r="A52" s="1">
        <v>45776</v>
      </c>
      <c r="B52" t="s">
        <v>58</v>
      </c>
      <c r="C52">
        <v>23</v>
      </c>
      <c r="D52">
        <v>34.299999999999997</v>
      </c>
    </row>
    <row r="53" spans="1:4" x14ac:dyDescent="0.25">
      <c r="A53" s="1">
        <v>45776</v>
      </c>
      <c r="B53" t="s">
        <v>59</v>
      </c>
      <c r="C53">
        <v>22.2</v>
      </c>
      <c r="D53">
        <v>34.9</v>
      </c>
    </row>
    <row r="54" spans="1:4" x14ac:dyDescent="0.25">
      <c r="A54" s="1">
        <v>45776</v>
      </c>
      <c r="B54" t="s">
        <v>60</v>
      </c>
      <c r="C54">
        <v>21.4</v>
      </c>
      <c r="D54">
        <v>35.299999999999997</v>
      </c>
    </row>
    <row r="55" spans="1:4" x14ac:dyDescent="0.25">
      <c r="A55" s="1">
        <v>45776</v>
      </c>
      <c r="B55" t="s">
        <v>61</v>
      </c>
      <c r="C55">
        <v>20.6</v>
      </c>
      <c r="D55">
        <v>35.700000000000003</v>
      </c>
    </row>
    <row r="56" spans="1:4" x14ac:dyDescent="0.25">
      <c r="A56" s="1">
        <v>45776</v>
      </c>
      <c r="B56" t="s">
        <v>62</v>
      </c>
      <c r="C56">
        <v>19.899999999999999</v>
      </c>
      <c r="D56">
        <v>36</v>
      </c>
    </row>
    <row r="57" spans="1:4" x14ac:dyDescent="0.25">
      <c r="A57" s="1">
        <v>45776</v>
      </c>
      <c r="B57" t="s">
        <v>63</v>
      </c>
      <c r="C57">
        <v>19.2</v>
      </c>
      <c r="D57">
        <v>36.1</v>
      </c>
    </row>
    <row r="58" spans="1:4" x14ac:dyDescent="0.25">
      <c r="A58" s="1">
        <v>45776</v>
      </c>
      <c r="B58" t="s">
        <v>64</v>
      </c>
      <c r="C58">
        <v>18.5</v>
      </c>
      <c r="D58">
        <v>36.200000000000003</v>
      </c>
    </row>
    <row r="59" spans="1:4" x14ac:dyDescent="0.25">
      <c r="A59" s="1">
        <v>45776</v>
      </c>
      <c r="B59" t="s">
        <v>65</v>
      </c>
      <c r="C59">
        <v>17.8</v>
      </c>
      <c r="D59">
        <v>36.299999999999997</v>
      </c>
    </row>
    <row r="60" spans="1:4" x14ac:dyDescent="0.25">
      <c r="A60" s="1">
        <v>45776</v>
      </c>
      <c r="B60" t="s">
        <v>66</v>
      </c>
      <c r="C60">
        <v>17.2</v>
      </c>
      <c r="D60">
        <v>36.4</v>
      </c>
    </row>
    <row r="61" spans="1:4" x14ac:dyDescent="0.25">
      <c r="A61" s="1">
        <v>45776</v>
      </c>
      <c r="B61" t="s">
        <v>67</v>
      </c>
      <c r="C61">
        <v>16.600000000000001</v>
      </c>
      <c r="D61">
        <v>36.4</v>
      </c>
    </row>
    <row r="62" spans="1:4" x14ac:dyDescent="0.25">
      <c r="A62" s="1">
        <v>45776</v>
      </c>
      <c r="B62" t="s">
        <v>68</v>
      </c>
      <c r="C62">
        <v>16.100000000000001</v>
      </c>
      <c r="D62">
        <v>36.4</v>
      </c>
    </row>
    <row r="63" spans="1:4" x14ac:dyDescent="0.25">
      <c r="A63" s="1">
        <v>45776</v>
      </c>
      <c r="B63" t="s">
        <v>69</v>
      </c>
      <c r="C63">
        <v>15.6</v>
      </c>
      <c r="D63">
        <v>36.4</v>
      </c>
    </row>
    <row r="64" spans="1:4" x14ac:dyDescent="0.25">
      <c r="A64" s="1">
        <v>45776</v>
      </c>
      <c r="B64" t="s">
        <v>70</v>
      </c>
      <c r="C64">
        <v>15.1</v>
      </c>
      <c r="D64">
        <v>36.5</v>
      </c>
    </row>
    <row r="65" spans="1:4" x14ac:dyDescent="0.25">
      <c r="A65" s="1">
        <v>45776</v>
      </c>
      <c r="B65" t="s">
        <v>71</v>
      </c>
      <c r="C65">
        <v>14.5</v>
      </c>
      <c r="D65">
        <v>36.6</v>
      </c>
    </row>
    <row r="66" spans="1:4" x14ac:dyDescent="0.25">
      <c r="A66" s="1">
        <v>45776</v>
      </c>
      <c r="B66" t="s">
        <v>72</v>
      </c>
      <c r="C66">
        <v>14.1</v>
      </c>
      <c r="D66">
        <v>36.700000000000003</v>
      </c>
    </row>
    <row r="67" spans="1:4" x14ac:dyDescent="0.25">
      <c r="A67" s="1">
        <v>45776</v>
      </c>
      <c r="B67" t="s">
        <v>73</v>
      </c>
      <c r="C67">
        <v>13.7</v>
      </c>
      <c r="D67">
        <v>37</v>
      </c>
    </row>
    <row r="68" spans="1:4" x14ac:dyDescent="0.25">
      <c r="A68" s="1">
        <v>45776</v>
      </c>
      <c r="B68" t="s">
        <v>74</v>
      </c>
      <c r="C68">
        <v>13.3</v>
      </c>
      <c r="D68">
        <v>37.200000000000003</v>
      </c>
    </row>
    <row r="69" spans="1:4" x14ac:dyDescent="0.25">
      <c r="A69" s="1">
        <v>45776</v>
      </c>
      <c r="B69" t="s">
        <v>75</v>
      </c>
      <c r="C69">
        <v>12.8</v>
      </c>
      <c r="D69">
        <v>37.299999999999997</v>
      </c>
    </row>
    <row r="70" spans="1:4" x14ac:dyDescent="0.25">
      <c r="A70" s="1">
        <v>45776</v>
      </c>
      <c r="B70" t="s">
        <v>76</v>
      </c>
      <c r="C70">
        <v>12.5</v>
      </c>
      <c r="D70">
        <v>37.4</v>
      </c>
    </row>
    <row r="71" spans="1:4" x14ac:dyDescent="0.25">
      <c r="A71" s="1">
        <v>45776</v>
      </c>
      <c r="B71" t="s">
        <v>77</v>
      </c>
      <c r="C71">
        <v>12.1</v>
      </c>
      <c r="D71">
        <v>37.6</v>
      </c>
    </row>
    <row r="72" spans="1:4" x14ac:dyDescent="0.25">
      <c r="A72" s="1">
        <v>45776</v>
      </c>
      <c r="B72" t="s">
        <v>78</v>
      </c>
      <c r="C72">
        <v>11.8</v>
      </c>
      <c r="D72">
        <v>37.799999999999997</v>
      </c>
    </row>
    <row r="73" spans="1:4" x14ac:dyDescent="0.25">
      <c r="A73" s="1">
        <v>45776</v>
      </c>
      <c r="B73" t="s">
        <v>79</v>
      </c>
      <c r="C73">
        <v>11.4</v>
      </c>
      <c r="D73">
        <v>38</v>
      </c>
    </row>
    <row r="74" spans="1:4" x14ac:dyDescent="0.25">
      <c r="A74" s="1">
        <v>45776</v>
      </c>
      <c r="B74" t="s">
        <v>80</v>
      </c>
      <c r="C74">
        <v>11.1</v>
      </c>
      <c r="D74">
        <v>38.299999999999997</v>
      </c>
    </row>
    <row r="75" spans="1:4" x14ac:dyDescent="0.25">
      <c r="A75" s="1">
        <v>45776</v>
      </c>
      <c r="B75" t="s">
        <v>81</v>
      </c>
      <c r="C75">
        <v>10.9</v>
      </c>
      <c r="D75">
        <v>38.299999999999997</v>
      </c>
    </row>
    <row r="76" spans="1:4" x14ac:dyDescent="0.25">
      <c r="A76" s="1">
        <v>45776</v>
      </c>
      <c r="B76" t="s">
        <v>82</v>
      </c>
      <c r="C76">
        <v>10.5</v>
      </c>
      <c r="D76">
        <v>38.4</v>
      </c>
    </row>
    <row r="77" spans="1:4" x14ac:dyDescent="0.25">
      <c r="A77" s="1">
        <v>45776</v>
      </c>
      <c r="B77" t="s">
        <v>83</v>
      </c>
      <c r="C77">
        <v>10.3</v>
      </c>
      <c r="D77">
        <v>38.6</v>
      </c>
    </row>
    <row r="78" spans="1:4" x14ac:dyDescent="0.25">
      <c r="A78" s="1">
        <v>45776</v>
      </c>
      <c r="B78" t="s">
        <v>84</v>
      </c>
      <c r="C78">
        <v>10</v>
      </c>
      <c r="D78">
        <v>38.5</v>
      </c>
    </row>
    <row r="79" spans="1:4" x14ac:dyDescent="0.25">
      <c r="A79" s="1">
        <v>45776</v>
      </c>
      <c r="B79" t="s">
        <v>85</v>
      </c>
      <c r="C79">
        <v>9.6999999999999993</v>
      </c>
      <c r="D79">
        <v>38.700000000000003</v>
      </c>
    </row>
    <row r="80" spans="1:4" x14ac:dyDescent="0.25">
      <c r="A80" s="1">
        <v>45776</v>
      </c>
      <c r="B80" t="s">
        <v>86</v>
      </c>
      <c r="C80">
        <v>9.5</v>
      </c>
      <c r="D80">
        <v>38.700000000000003</v>
      </c>
    </row>
    <row r="81" spans="1:4" x14ac:dyDescent="0.25">
      <c r="A81" s="1">
        <v>45776</v>
      </c>
      <c r="B81" t="s">
        <v>87</v>
      </c>
      <c r="C81">
        <v>9.1999999999999993</v>
      </c>
      <c r="D81">
        <v>38.700000000000003</v>
      </c>
    </row>
    <row r="82" spans="1:4" x14ac:dyDescent="0.25">
      <c r="A82" s="1">
        <v>45776</v>
      </c>
      <c r="B82" t="s">
        <v>88</v>
      </c>
      <c r="C82">
        <v>9</v>
      </c>
      <c r="D82">
        <v>38.700000000000003</v>
      </c>
    </row>
    <row r="83" spans="1:4" x14ac:dyDescent="0.25">
      <c r="A83" s="1">
        <v>45776</v>
      </c>
      <c r="B83" t="s">
        <v>89</v>
      </c>
      <c r="C83">
        <v>8.6999999999999993</v>
      </c>
      <c r="D83">
        <v>38.700000000000003</v>
      </c>
    </row>
    <row r="84" spans="1:4" x14ac:dyDescent="0.25">
      <c r="A84" s="1">
        <v>45776</v>
      </c>
      <c r="B84" t="s">
        <v>90</v>
      </c>
      <c r="C84">
        <v>8.5</v>
      </c>
      <c r="D84">
        <v>38.700000000000003</v>
      </c>
    </row>
    <row r="85" spans="1:4" x14ac:dyDescent="0.25">
      <c r="A85" s="1">
        <v>45776</v>
      </c>
      <c r="B85" t="s">
        <v>91</v>
      </c>
      <c r="C85">
        <v>8.3000000000000007</v>
      </c>
      <c r="D85">
        <v>38.700000000000003</v>
      </c>
    </row>
    <row r="86" spans="1:4" x14ac:dyDescent="0.25">
      <c r="A86" s="1">
        <v>45776</v>
      </c>
      <c r="B86" t="s">
        <v>92</v>
      </c>
      <c r="C86">
        <v>8</v>
      </c>
      <c r="D86">
        <v>38.9</v>
      </c>
    </row>
    <row r="87" spans="1:4" x14ac:dyDescent="0.25">
      <c r="A87" s="1">
        <v>45776</v>
      </c>
      <c r="B87" t="s">
        <v>93</v>
      </c>
      <c r="C87">
        <v>7.8</v>
      </c>
      <c r="D87">
        <v>39</v>
      </c>
    </row>
    <row r="88" spans="1:4" x14ac:dyDescent="0.25">
      <c r="A88" s="1">
        <v>45776</v>
      </c>
      <c r="B88" t="s">
        <v>94</v>
      </c>
      <c r="C88">
        <v>7.6</v>
      </c>
      <c r="D88">
        <v>39.1</v>
      </c>
    </row>
    <row r="89" spans="1:4" x14ac:dyDescent="0.25">
      <c r="A89" s="1">
        <v>45776</v>
      </c>
      <c r="B89" t="s">
        <v>95</v>
      </c>
      <c r="C89">
        <v>7.4</v>
      </c>
      <c r="D89">
        <v>39</v>
      </c>
    </row>
    <row r="90" spans="1:4" x14ac:dyDescent="0.25">
      <c r="A90" s="1">
        <v>45776</v>
      </c>
      <c r="B90" t="s">
        <v>96</v>
      </c>
      <c r="C90">
        <v>7.2</v>
      </c>
      <c r="D90">
        <v>39.1</v>
      </c>
    </row>
    <row r="91" spans="1:4" x14ac:dyDescent="0.25">
      <c r="A91" s="1">
        <v>45776</v>
      </c>
      <c r="B91" t="s">
        <v>97</v>
      </c>
      <c r="C91">
        <v>7</v>
      </c>
      <c r="D91">
        <v>39.200000000000003</v>
      </c>
    </row>
    <row r="92" spans="1:4" x14ac:dyDescent="0.25">
      <c r="A92" s="1">
        <v>45776</v>
      </c>
      <c r="B92" t="s">
        <v>98</v>
      </c>
      <c r="C92">
        <v>6.7</v>
      </c>
      <c r="D92">
        <v>39.299999999999997</v>
      </c>
    </row>
    <row r="93" spans="1:4" x14ac:dyDescent="0.25">
      <c r="A93" s="1">
        <v>45776</v>
      </c>
      <c r="B93" t="s">
        <v>99</v>
      </c>
      <c r="C93">
        <v>6.5</v>
      </c>
      <c r="D93">
        <v>39.4</v>
      </c>
    </row>
    <row r="94" spans="1:4" x14ac:dyDescent="0.25">
      <c r="A94" s="1">
        <v>45776</v>
      </c>
      <c r="B94" t="s">
        <v>100</v>
      </c>
      <c r="C94">
        <v>6.3</v>
      </c>
      <c r="D94">
        <v>39.5</v>
      </c>
    </row>
    <row r="95" spans="1:4" x14ac:dyDescent="0.25">
      <c r="A95" s="1">
        <v>45776</v>
      </c>
      <c r="B95" t="s">
        <v>101</v>
      </c>
      <c r="C95">
        <v>6.1</v>
      </c>
      <c r="D95">
        <v>39.5</v>
      </c>
    </row>
    <row r="96" spans="1:4" x14ac:dyDescent="0.25">
      <c r="A96" s="1">
        <v>45776</v>
      </c>
      <c r="B96" t="s">
        <v>102</v>
      </c>
      <c r="C96">
        <v>6</v>
      </c>
      <c r="D96">
        <v>39.5</v>
      </c>
    </row>
    <row r="97" spans="1:4" x14ac:dyDescent="0.25">
      <c r="A97" s="1">
        <v>45776</v>
      </c>
      <c r="B97" t="s">
        <v>103</v>
      </c>
      <c r="C97">
        <v>5.8</v>
      </c>
      <c r="D97">
        <v>39.6</v>
      </c>
    </row>
    <row r="98" spans="1:4" x14ac:dyDescent="0.25">
      <c r="A98" s="1">
        <v>45776</v>
      </c>
      <c r="B98" t="s">
        <v>104</v>
      </c>
      <c r="C98">
        <v>5.6</v>
      </c>
      <c r="D98">
        <v>39.700000000000003</v>
      </c>
    </row>
    <row r="99" spans="1:4" x14ac:dyDescent="0.25">
      <c r="A99" s="1">
        <v>45776</v>
      </c>
      <c r="B99" t="s">
        <v>105</v>
      </c>
      <c r="C99">
        <v>5.4</v>
      </c>
      <c r="D99">
        <v>40</v>
      </c>
    </row>
    <row r="100" spans="1:4" x14ac:dyDescent="0.25">
      <c r="A100" s="1">
        <v>45776</v>
      </c>
      <c r="B100" t="s">
        <v>106</v>
      </c>
      <c r="C100">
        <v>5.3</v>
      </c>
      <c r="D100">
        <v>41.3</v>
      </c>
    </row>
    <row r="101" spans="1:4" x14ac:dyDescent="0.25">
      <c r="A101" s="1">
        <v>45776</v>
      </c>
      <c r="B101" t="s">
        <v>107</v>
      </c>
      <c r="C101">
        <v>5.3</v>
      </c>
      <c r="D101">
        <v>42.4</v>
      </c>
    </row>
    <row r="102" spans="1:4" x14ac:dyDescent="0.25">
      <c r="A102" s="1">
        <v>45776</v>
      </c>
      <c r="B102" t="s">
        <v>108</v>
      </c>
      <c r="C102">
        <v>5.4</v>
      </c>
      <c r="D102">
        <v>43.5</v>
      </c>
    </row>
    <row r="103" spans="1:4" x14ac:dyDescent="0.25">
      <c r="A103" s="1">
        <v>45776</v>
      </c>
      <c r="B103" t="s">
        <v>109</v>
      </c>
      <c r="C103">
        <v>8.1</v>
      </c>
      <c r="D103">
        <v>72.5</v>
      </c>
    </row>
    <row r="104" spans="1:4" x14ac:dyDescent="0.25">
      <c r="A104" s="1">
        <v>45776</v>
      </c>
      <c r="B104" t="s">
        <v>110</v>
      </c>
      <c r="C104">
        <v>11.8</v>
      </c>
      <c r="D104">
        <v>83.8</v>
      </c>
    </row>
    <row r="105" spans="1:4" x14ac:dyDescent="0.25">
      <c r="A105" s="1">
        <v>45776</v>
      </c>
      <c r="B105" t="s">
        <v>111</v>
      </c>
      <c r="C105">
        <v>14.6</v>
      </c>
      <c r="D105">
        <v>61.6</v>
      </c>
    </row>
    <row r="106" spans="1:4" x14ac:dyDescent="0.25">
      <c r="A106" s="1">
        <v>45776</v>
      </c>
      <c r="B106" t="s">
        <v>112</v>
      </c>
      <c r="C106">
        <v>16.100000000000001</v>
      </c>
      <c r="D106">
        <v>53.4</v>
      </c>
    </row>
    <row r="107" spans="1:4" x14ac:dyDescent="0.25">
      <c r="A107" s="1">
        <v>45776</v>
      </c>
      <c r="B107" t="s">
        <v>113</v>
      </c>
      <c r="C107">
        <v>17.100000000000001</v>
      </c>
      <c r="D107">
        <v>48.9</v>
      </c>
    </row>
    <row r="108" spans="1:4" x14ac:dyDescent="0.25">
      <c r="A108" s="1">
        <v>45776</v>
      </c>
      <c r="B108" t="s">
        <v>114</v>
      </c>
      <c r="C108">
        <v>18</v>
      </c>
      <c r="D108">
        <v>46.2</v>
      </c>
    </row>
    <row r="109" spans="1:4" x14ac:dyDescent="0.25">
      <c r="A109" s="1">
        <v>45776</v>
      </c>
      <c r="B109" t="s">
        <v>115</v>
      </c>
      <c r="C109">
        <v>18.7</v>
      </c>
      <c r="D109">
        <v>44.1</v>
      </c>
    </row>
    <row r="110" spans="1:4" x14ac:dyDescent="0.25">
      <c r="A110" s="1">
        <v>45776</v>
      </c>
      <c r="B110" t="s">
        <v>116</v>
      </c>
      <c r="C110">
        <v>19.3</v>
      </c>
      <c r="D110">
        <v>43.3</v>
      </c>
    </row>
    <row r="111" spans="1:4" x14ac:dyDescent="0.25">
      <c r="A111" s="1">
        <v>45776</v>
      </c>
      <c r="B111" t="s">
        <v>117</v>
      </c>
      <c r="C111">
        <v>19.8</v>
      </c>
      <c r="D111">
        <v>42.8</v>
      </c>
    </row>
    <row r="112" spans="1:4" x14ac:dyDescent="0.25">
      <c r="A112" s="1">
        <v>45776</v>
      </c>
      <c r="B112" t="s">
        <v>118</v>
      </c>
      <c r="C112">
        <v>20.2</v>
      </c>
      <c r="D112">
        <v>41.2</v>
      </c>
    </row>
    <row r="113" spans="1:4" x14ac:dyDescent="0.25">
      <c r="A113" s="1">
        <v>45776</v>
      </c>
      <c r="B113" t="s">
        <v>119</v>
      </c>
      <c r="C113">
        <v>20.7</v>
      </c>
      <c r="D113">
        <v>40.299999999999997</v>
      </c>
    </row>
    <row r="114" spans="1:4" x14ac:dyDescent="0.25">
      <c r="A114" s="1">
        <v>45776</v>
      </c>
      <c r="B114" t="s">
        <v>120</v>
      </c>
      <c r="C114">
        <v>21</v>
      </c>
      <c r="D114">
        <v>39.799999999999997</v>
      </c>
    </row>
    <row r="115" spans="1:4" x14ac:dyDescent="0.25">
      <c r="A115" s="1">
        <v>45776</v>
      </c>
      <c r="B115" t="s">
        <v>121</v>
      </c>
      <c r="C115">
        <v>21.4</v>
      </c>
      <c r="D115">
        <v>40.700000000000003</v>
      </c>
    </row>
    <row r="116" spans="1:4" x14ac:dyDescent="0.25">
      <c r="A116" s="1">
        <v>45776</v>
      </c>
      <c r="B116" t="s">
        <v>122</v>
      </c>
      <c r="C116">
        <v>22</v>
      </c>
      <c r="D116">
        <v>38.799999999999997</v>
      </c>
    </row>
    <row r="117" spans="1:4" x14ac:dyDescent="0.25">
      <c r="A117" s="1">
        <v>45776</v>
      </c>
      <c r="B117" t="s">
        <v>123</v>
      </c>
      <c r="C117">
        <v>22.5</v>
      </c>
      <c r="D117">
        <v>39</v>
      </c>
    </row>
    <row r="118" spans="1:4" x14ac:dyDescent="0.25">
      <c r="A118" s="1">
        <v>45776</v>
      </c>
      <c r="B118" t="s">
        <v>124</v>
      </c>
      <c r="C118">
        <v>23</v>
      </c>
      <c r="D118">
        <v>37.799999999999997</v>
      </c>
    </row>
    <row r="119" spans="1:4" x14ac:dyDescent="0.25">
      <c r="A119" s="1">
        <v>45776</v>
      </c>
      <c r="B119" t="s">
        <v>125</v>
      </c>
      <c r="C119">
        <v>23.4</v>
      </c>
      <c r="D119">
        <v>38.700000000000003</v>
      </c>
    </row>
    <row r="120" spans="1:4" x14ac:dyDescent="0.25">
      <c r="A120" s="1">
        <v>45776</v>
      </c>
      <c r="B120" t="s">
        <v>126</v>
      </c>
      <c r="C120">
        <v>23.8</v>
      </c>
      <c r="D120">
        <v>37.6</v>
      </c>
    </row>
    <row r="121" spans="1:4" x14ac:dyDescent="0.25">
      <c r="A121" s="1">
        <v>45776</v>
      </c>
      <c r="B121" t="s">
        <v>127</v>
      </c>
      <c r="C121">
        <v>24.2</v>
      </c>
      <c r="D121">
        <v>36.700000000000003</v>
      </c>
    </row>
    <row r="122" spans="1:4" x14ac:dyDescent="0.25">
      <c r="A122" s="1">
        <v>45776</v>
      </c>
      <c r="B122" t="s">
        <v>128</v>
      </c>
      <c r="C122">
        <v>24.6</v>
      </c>
      <c r="D122">
        <v>34.9</v>
      </c>
    </row>
    <row r="123" spans="1:4" x14ac:dyDescent="0.25">
      <c r="A123" s="1">
        <v>45776</v>
      </c>
      <c r="B123" t="s">
        <v>129</v>
      </c>
      <c r="C123">
        <v>24.9</v>
      </c>
      <c r="D123">
        <v>34</v>
      </c>
    </row>
    <row r="124" spans="1:4" x14ac:dyDescent="0.25">
      <c r="A124" s="1">
        <v>45776</v>
      </c>
      <c r="B124" t="s">
        <v>130</v>
      </c>
      <c r="C124">
        <v>25.3</v>
      </c>
      <c r="D124">
        <v>35.5</v>
      </c>
    </row>
    <row r="125" spans="1:4" x14ac:dyDescent="0.25">
      <c r="A125" s="1">
        <v>45776</v>
      </c>
      <c r="B125" t="s">
        <v>131</v>
      </c>
      <c r="C125">
        <v>25.8</v>
      </c>
      <c r="D125">
        <v>36.5</v>
      </c>
    </row>
    <row r="126" spans="1:4" x14ac:dyDescent="0.25">
      <c r="A126" s="1">
        <v>45776</v>
      </c>
      <c r="B126" t="s">
        <v>132</v>
      </c>
      <c r="C126">
        <v>26.3</v>
      </c>
      <c r="D126">
        <v>38</v>
      </c>
    </row>
    <row r="127" spans="1:4" x14ac:dyDescent="0.25">
      <c r="A127" s="1">
        <v>45776</v>
      </c>
      <c r="B127" t="s">
        <v>133</v>
      </c>
      <c r="C127">
        <v>26.8</v>
      </c>
      <c r="D127">
        <v>41.6</v>
      </c>
    </row>
    <row r="128" spans="1:4" x14ac:dyDescent="0.25">
      <c r="A128" s="1">
        <v>45776</v>
      </c>
      <c r="B128" t="s">
        <v>134</v>
      </c>
      <c r="C128">
        <v>27.3</v>
      </c>
      <c r="D128">
        <v>43.3</v>
      </c>
    </row>
    <row r="129" spans="1:4" x14ac:dyDescent="0.25">
      <c r="A129" s="1">
        <v>45776</v>
      </c>
      <c r="B129" t="s">
        <v>135</v>
      </c>
      <c r="C129">
        <v>27.6</v>
      </c>
      <c r="D129">
        <v>34.200000000000003</v>
      </c>
    </row>
    <row r="130" spans="1:4" x14ac:dyDescent="0.25">
      <c r="A130" s="1">
        <v>45776</v>
      </c>
      <c r="B130" t="s">
        <v>136</v>
      </c>
      <c r="C130">
        <v>27.7</v>
      </c>
      <c r="D130">
        <v>32.6</v>
      </c>
    </row>
    <row r="131" spans="1:4" x14ac:dyDescent="0.25">
      <c r="A131" s="1">
        <v>45776</v>
      </c>
      <c r="B131" t="s">
        <v>137</v>
      </c>
      <c r="C131">
        <v>27.8</v>
      </c>
      <c r="D131">
        <v>31.7</v>
      </c>
    </row>
    <row r="132" spans="1:4" x14ac:dyDescent="0.25">
      <c r="A132" s="1">
        <v>45776</v>
      </c>
      <c r="B132" t="s">
        <v>138</v>
      </c>
      <c r="C132">
        <v>27.8</v>
      </c>
      <c r="D132">
        <v>31.2</v>
      </c>
    </row>
    <row r="133" spans="1:4" x14ac:dyDescent="0.25">
      <c r="A133" s="1">
        <v>45776</v>
      </c>
      <c r="B133" t="s">
        <v>139</v>
      </c>
      <c r="C133">
        <v>27.8</v>
      </c>
      <c r="D133">
        <v>31.2</v>
      </c>
    </row>
    <row r="134" spans="1:4" x14ac:dyDescent="0.25">
      <c r="A134" s="1">
        <v>45776</v>
      </c>
      <c r="B134" t="s">
        <v>140</v>
      </c>
      <c r="C134">
        <v>27.7</v>
      </c>
      <c r="D134">
        <v>32.4</v>
      </c>
    </row>
    <row r="135" spans="1:4" x14ac:dyDescent="0.25">
      <c r="A135" s="1">
        <v>45776</v>
      </c>
      <c r="B135" t="s">
        <v>141</v>
      </c>
      <c r="C135">
        <v>27.7</v>
      </c>
      <c r="D135">
        <v>32.6</v>
      </c>
    </row>
    <row r="136" spans="1:4" x14ac:dyDescent="0.25">
      <c r="A136" s="1">
        <v>45776</v>
      </c>
      <c r="B136" t="s">
        <v>142</v>
      </c>
      <c r="C136">
        <v>27.6</v>
      </c>
      <c r="D136">
        <v>33.4</v>
      </c>
    </row>
    <row r="137" spans="1:4" x14ac:dyDescent="0.25">
      <c r="A137" s="1">
        <v>45776</v>
      </c>
      <c r="B137" t="s">
        <v>143</v>
      </c>
      <c r="C137">
        <v>27.4</v>
      </c>
      <c r="D137">
        <v>33.4</v>
      </c>
    </row>
    <row r="138" spans="1:4" x14ac:dyDescent="0.25">
      <c r="A138" s="1">
        <v>45776</v>
      </c>
      <c r="B138" t="s">
        <v>144</v>
      </c>
      <c r="C138">
        <v>27.2</v>
      </c>
      <c r="D138">
        <v>32.9</v>
      </c>
    </row>
    <row r="139" spans="1:4" x14ac:dyDescent="0.25">
      <c r="A139" s="1">
        <v>45776</v>
      </c>
      <c r="B139" t="s">
        <v>145</v>
      </c>
      <c r="C139">
        <v>27</v>
      </c>
      <c r="D139">
        <v>32.799999999999997</v>
      </c>
    </row>
    <row r="140" spans="1:4" x14ac:dyDescent="0.25">
      <c r="A140" s="1">
        <v>45776</v>
      </c>
      <c r="B140" t="s">
        <v>146</v>
      </c>
      <c r="C140">
        <v>26.9</v>
      </c>
      <c r="D140">
        <v>37.6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85DF2-8D40-4AA5-84EC-36EB175B7883}">
  <dimension ref="A1:J60"/>
  <sheetViews>
    <sheetView tabSelected="1" zoomScaleNormal="100" workbookViewId="0">
      <selection activeCell="H15" sqref="H15"/>
    </sheetView>
  </sheetViews>
  <sheetFormatPr baseColWidth="10" defaultRowHeight="15" x14ac:dyDescent="0.25"/>
  <cols>
    <col min="4" max="4" width="14.7109375" bestFit="1" customWidth="1"/>
  </cols>
  <sheetData>
    <row r="1" spans="1:10" x14ac:dyDescent="0.25">
      <c r="A1" t="s">
        <v>148</v>
      </c>
      <c r="B1" t="s">
        <v>41</v>
      </c>
      <c r="C1" t="s">
        <v>147</v>
      </c>
      <c r="D1" t="s">
        <v>154</v>
      </c>
      <c r="E1" t="s">
        <v>155</v>
      </c>
    </row>
    <row r="2" spans="1:10" x14ac:dyDescent="0.25">
      <c r="A2">
        <v>0</v>
      </c>
      <c r="B2" t="s">
        <v>52</v>
      </c>
      <c r="C2">
        <v>28</v>
      </c>
      <c r="D2">
        <f>$H$6+($H$7-$H$6)*EXP(-$H$5*A2)</f>
        <v>28</v>
      </c>
      <c r="E2">
        <f>(C2-D2)^2</f>
        <v>0</v>
      </c>
    </row>
    <row r="3" spans="1:10" x14ac:dyDescent="0.25">
      <c r="A3">
        <v>0.5</v>
      </c>
      <c r="B3" t="s">
        <v>53</v>
      </c>
      <c r="C3">
        <v>27.4</v>
      </c>
      <c r="D3">
        <f t="shared" ref="D3:D58" si="0">$H$6+($H$7-$H$6)*EXP(-$H$5*A3)</f>
        <v>26.96845273953894</v>
      </c>
      <c r="E3">
        <f t="shared" ref="E3:E58" si="1">(C3-D3)^2</f>
        <v>0.18623303801144517</v>
      </c>
    </row>
    <row r="4" spans="1:10" x14ac:dyDescent="0.25">
      <c r="A4">
        <v>1</v>
      </c>
      <c r="B4" t="s">
        <v>54</v>
      </c>
      <c r="C4">
        <v>26.5</v>
      </c>
      <c r="D4">
        <f t="shared" si="0"/>
        <v>25.981242552018074</v>
      </c>
      <c r="E4">
        <f t="shared" si="1"/>
        <v>0.26910928983672078</v>
      </c>
    </row>
    <row r="5" spans="1:10" x14ac:dyDescent="0.25">
      <c r="A5">
        <v>1.5</v>
      </c>
      <c r="B5" t="s">
        <v>55</v>
      </c>
      <c r="C5">
        <v>25.6</v>
      </c>
      <c r="D5">
        <f t="shared" si="0"/>
        <v>25.036463779682059</v>
      </c>
      <c r="E5">
        <f t="shared" si="1"/>
        <v>0.31757307161023274</v>
      </c>
      <c r="G5" s="2" t="s">
        <v>149</v>
      </c>
      <c r="H5" s="2">
        <v>8.7864351941258995E-2</v>
      </c>
      <c r="J5" t="s">
        <v>150</v>
      </c>
    </row>
    <row r="6" spans="1:10" x14ac:dyDescent="0.25">
      <c r="A6">
        <v>2</v>
      </c>
      <c r="B6" t="s">
        <v>56</v>
      </c>
      <c r="C6">
        <v>24.7</v>
      </c>
      <c r="D6">
        <f t="shared" si="0"/>
        <v>24.132292672110417</v>
      </c>
      <c r="E6">
        <f t="shared" si="1"/>
        <v>0.32229161013953</v>
      </c>
      <c r="G6" t="s">
        <v>151</v>
      </c>
      <c r="H6">
        <v>4</v>
      </c>
    </row>
    <row r="7" spans="1:10" x14ac:dyDescent="0.25">
      <c r="A7">
        <v>2.5</v>
      </c>
      <c r="B7" t="s">
        <v>57</v>
      </c>
      <c r="C7">
        <v>23.8</v>
      </c>
      <c r="D7">
        <f t="shared" si="0"/>
        <v>23.266983865747257</v>
      </c>
      <c r="E7">
        <f t="shared" si="1"/>
        <v>0.28410619937373915</v>
      </c>
      <c r="G7" t="s">
        <v>152</v>
      </c>
      <c r="H7">
        <v>28</v>
      </c>
    </row>
    <row r="8" spans="1:10" x14ac:dyDescent="0.25">
      <c r="A8">
        <v>3</v>
      </c>
      <c r="B8" t="s">
        <v>58</v>
      </c>
      <c r="C8">
        <v>23</v>
      </c>
      <c r="D8">
        <f t="shared" si="0"/>
        <v>22.438867014744798</v>
      </c>
      <c r="E8">
        <f t="shared" si="1"/>
        <v>0.31487022714141533</v>
      </c>
    </row>
    <row r="9" spans="1:10" x14ac:dyDescent="0.25">
      <c r="A9">
        <v>3.5</v>
      </c>
      <c r="B9" t="s">
        <v>59</v>
      </c>
      <c r="C9">
        <v>22.2</v>
      </c>
      <c r="D9">
        <f t="shared" si="0"/>
        <v>21.646343566617055</v>
      </c>
      <c r="E9">
        <f t="shared" si="1"/>
        <v>0.30653544622632217</v>
      </c>
      <c r="G9" t="s">
        <v>153</v>
      </c>
    </row>
    <row r="10" spans="1:10" x14ac:dyDescent="0.25">
      <c r="A10">
        <v>4</v>
      </c>
      <c r="B10" t="s">
        <v>60</v>
      </c>
      <c r="C10">
        <v>21.4</v>
      </c>
      <c r="D10">
        <f t="shared" si="0"/>
        <v>20.887883676479618</v>
      </c>
      <c r="E10">
        <f t="shared" si="1"/>
        <v>0.26226312881603148</v>
      </c>
    </row>
    <row r="11" spans="1:10" x14ac:dyDescent="0.25">
      <c r="A11">
        <v>4.5</v>
      </c>
      <c r="B11" t="s">
        <v>61</v>
      </c>
      <c r="C11">
        <v>20.6</v>
      </c>
      <c r="D11">
        <f t="shared" si="0"/>
        <v>20.162023253918882</v>
      </c>
      <c r="E11">
        <f t="shared" si="1"/>
        <v>0.1918236301078054</v>
      </c>
    </row>
    <row r="12" spans="1:10" x14ac:dyDescent="0.25">
      <c r="A12">
        <v>5</v>
      </c>
      <c r="B12" t="s">
        <v>62</v>
      </c>
      <c r="C12">
        <v>19.899999999999999</v>
      </c>
      <c r="D12">
        <f t="shared" si="0"/>
        <v>19.467361136790217</v>
      </c>
      <c r="E12">
        <f t="shared" si="1"/>
        <v>0.18717638595945224</v>
      </c>
    </row>
    <row r="13" spans="1:10" x14ac:dyDescent="0.25">
      <c r="A13">
        <v>5.5</v>
      </c>
      <c r="B13" t="s">
        <v>63</v>
      </c>
      <c r="C13">
        <v>19.2</v>
      </c>
      <c r="D13">
        <f t="shared" si="0"/>
        <v>18.802556386489474</v>
      </c>
      <c r="E13">
        <f t="shared" si="1"/>
        <v>0.1579614259203036</v>
      </c>
    </row>
    <row r="14" spans="1:10" x14ac:dyDescent="0.25">
      <c r="A14">
        <v>6</v>
      </c>
      <c r="B14" t="s">
        <v>64</v>
      </c>
      <c r="C14">
        <v>18.5</v>
      </c>
      <c r="D14">
        <f t="shared" si="0"/>
        <v>18.166325699476822</v>
      </c>
      <c r="E14">
        <f t="shared" si="1"/>
        <v>0.11133853882963221</v>
      </c>
    </row>
    <row r="15" spans="1:10" x14ac:dyDescent="0.25">
      <c r="A15">
        <v>6.5</v>
      </c>
      <c r="B15" t="s">
        <v>65</v>
      </c>
      <c r="C15">
        <v>17.8</v>
      </c>
      <c r="D15">
        <f t="shared" si="0"/>
        <v>17.55744093005622</v>
      </c>
      <c r="E15">
        <f t="shared" si="1"/>
        <v>5.883490241199181E-2</v>
      </c>
      <c r="H15">
        <f>0.08-0.04</f>
        <v>0.04</v>
      </c>
    </row>
    <row r="16" spans="1:10" x14ac:dyDescent="0.25">
      <c r="A16">
        <v>7</v>
      </c>
      <c r="B16" t="s">
        <v>66</v>
      </c>
      <c r="C16">
        <v>17.2</v>
      </c>
      <c r="D16">
        <f t="shared" si="0"/>
        <v>16.974726719628631</v>
      </c>
      <c r="E16">
        <f t="shared" si="1"/>
        <v>5.0748050849277158E-2</v>
      </c>
    </row>
    <row r="17" spans="1:5" x14ac:dyDescent="0.25">
      <c r="A17">
        <v>7.5</v>
      </c>
      <c r="B17" t="s">
        <v>67</v>
      </c>
      <c r="C17">
        <v>16.600000000000001</v>
      </c>
      <c r="D17">
        <f t="shared" si="0"/>
        <v>16.417058227842638</v>
      </c>
      <c r="E17">
        <f t="shared" si="1"/>
        <v>3.3467692000076661E-2</v>
      </c>
    </row>
    <row r="18" spans="1:5" x14ac:dyDescent="0.25">
      <c r="A18">
        <v>8</v>
      </c>
      <c r="B18" t="s">
        <v>68</v>
      </c>
      <c r="C18">
        <v>16.100000000000001</v>
      </c>
      <c r="D18">
        <f t="shared" si="0"/>
        <v>15.883358961262781</v>
      </c>
      <c r="E18">
        <f t="shared" si="1"/>
        <v>4.6933339665141925E-2</v>
      </c>
    </row>
    <row r="19" spans="1:5" x14ac:dyDescent="0.25">
      <c r="A19">
        <v>8.5</v>
      </c>
      <c r="B19" t="s">
        <v>69</v>
      </c>
      <c r="C19">
        <v>15.6</v>
      </c>
      <c r="D19">
        <f t="shared" si="0"/>
        <v>15.372598695364195</v>
      </c>
      <c r="E19">
        <f t="shared" si="1"/>
        <v>5.1711353350066186E-2</v>
      </c>
    </row>
    <row r="20" spans="1:5" x14ac:dyDescent="0.25">
      <c r="A20">
        <v>9</v>
      </c>
      <c r="B20" t="s">
        <v>70</v>
      </c>
      <c r="C20">
        <v>15.1</v>
      </c>
      <c r="D20">
        <f t="shared" si="0"/>
        <v>14.883791485842281</v>
      </c>
      <c r="E20">
        <f t="shared" si="1"/>
        <v>4.6746121594288585E-2</v>
      </c>
    </row>
    <row r="21" spans="1:5" x14ac:dyDescent="0.25">
      <c r="A21">
        <v>9.5</v>
      </c>
      <c r="B21" t="s">
        <v>71</v>
      </c>
      <c r="C21">
        <v>14.5</v>
      </c>
      <c r="D21">
        <f t="shared" si="0"/>
        <v>14.415993765398529</v>
      </c>
      <c r="E21">
        <f t="shared" si="1"/>
        <v>7.0570474519174109E-3</v>
      </c>
    </row>
    <row r="22" spans="1:5" x14ac:dyDescent="0.25">
      <c r="A22">
        <v>10</v>
      </c>
      <c r="B22" t="s">
        <v>72</v>
      </c>
      <c r="C22">
        <v>14.1</v>
      </c>
      <c r="D22">
        <f t="shared" si="0"/>
        <v>13.968302522328681</v>
      </c>
      <c r="E22">
        <f t="shared" si="1"/>
        <v>1.7344225624987421E-2</v>
      </c>
    </row>
    <row r="23" spans="1:5" x14ac:dyDescent="0.25">
      <c r="A23">
        <v>10.5</v>
      </c>
      <c r="B23" t="s">
        <v>73</v>
      </c>
      <c r="C23">
        <v>13.7</v>
      </c>
      <c r="D23">
        <f t="shared" si="0"/>
        <v>13.539853557397212</v>
      </c>
      <c r="E23">
        <f t="shared" si="1"/>
        <v>2.5646883078327888E-2</v>
      </c>
    </row>
    <row r="24" spans="1:5" x14ac:dyDescent="0.25">
      <c r="A24">
        <v>11</v>
      </c>
      <c r="B24" t="s">
        <v>74</v>
      </c>
      <c r="C24">
        <v>13.3</v>
      </c>
      <c r="D24">
        <f t="shared" si="0"/>
        <v>13.129819815633345</v>
      </c>
      <c r="E24">
        <f t="shared" si="1"/>
        <v>2.8961295151068857E-2</v>
      </c>
    </row>
    <row r="25" spans="1:5" x14ac:dyDescent="0.25">
      <c r="A25">
        <v>11.5</v>
      </c>
      <c r="B25" t="s">
        <v>75</v>
      </c>
      <c r="C25">
        <v>12.8</v>
      </c>
      <c r="D25">
        <f t="shared" si="0"/>
        <v>12.737409789828359</v>
      </c>
      <c r="E25">
        <f t="shared" si="1"/>
        <v>3.9175344093303191E-3</v>
      </c>
    </row>
    <row r="26" spans="1:5" x14ac:dyDescent="0.25">
      <c r="A26">
        <v>12</v>
      </c>
      <c r="B26" t="s">
        <v>76</v>
      </c>
      <c r="C26">
        <v>12.5</v>
      </c>
      <c r="D26">
        <f t="shared" si="0"/>
        <v>12.361865992652394</v>
      </c>
      <c r="E26">
        <f t="shared" si="1"/>
        <v>1.9081003985908486E-2</v>
      </c>
    </row>
    <row r="27" spans="1:5" x14ac:dyDescent="0.25">
      <c r="A27">
        <v>12.5</v>
      </c>
      <c r="B27" t="s">
        <v>77</v>
      </c>
      <c r="C27">
        <v>12.1</v>
      </c>
      <c r="D27">
        <f t="shared" si="0"/>
        <v>12.002463494441432</v>
      </c>
      <c r="E27">
        <f t="shared" si="1"/>
        <v>9.51336991657643E-3</v>
      </c>
    </row>
    <row r="28" spans="1:5" x14ac:dyDescent="0.25">
      <c r="A28">
        <v>13</v>
      </c>
      <c r="B28" t="s">
        <v>78</v>
      </c>
      <c r="C28">
        <v>11.8</v>
      </c>
      <c r="D28">
        <f t="shared" si="0"/>
        <v>11.65850852383182</v>
      </c>
      <c r="E28">
        <f t="shared" si="1"/>
        <v>2.0019837828250845E-2</v>
      </c>
    </row>
    <row r="29" spans="1:5" x14ac:dyDescent="0.25">
      <c r="A29">
        <v>13.5</v>
      </c>
      <c r="B29" t="s">
        <v>79</v>
      </c>
      <c r="C29">
        <v>11.4</v>
      </c>
      <c r="D29">
        <f t="shared" si="0"/>
        <v>11.329337128541136</v>
      </c>
      <c r="E29">
        <f t="shared" si="1"/>
        <v>4.9932414028120257E-3</v>
      </c>
    </row>
    <row r="30" spans="1:5" x14ac:dyDescent="0.25">
      <c r="A30">
        <v>14</v>
      </c>
      <c r="B30" t="s">
        <v>80</v>
      </c>
      <c r="C30">
        <v>11.1</v>
      </c>
      <c r="D30">
        <f t="shared" si="0"/>
        <v>11.014313893710213</v>
      </c>
      <c r="E30">
        <f t="shared" si="1"/>
        <v>7.3421088111046201E-3</v>
      </c>
    </row>
    <row r="31" spans="1:5" x14ac:dyDescent="0.25">
      <c r="A31">
        <v>14.5</v>
      </c>
      <c r="B31" t="s">
        <v>81</v>
      </c>
      <c r="C31">
        <v>10.9</v>
      </c>
      <c r="D31">
        <f t="shared" si="0"/>
        <v>10.712830715332267</v>
      </c>
      <c r="E31">
        <f t="shared" si="1"/>
        <v>3.5032341123031149E-2</v>
      </c>
    </row>
    <row r="32" spans="1:5" x14ac:dyDescent="0.25">
      <c r="A32">
        <v>15</v>
      </c>
      <c r="B32" t="s">
        <v>82</v>
      </c>
      <c r="C32">
        <v>10.5</v>
      </c>
      <c r="D32">
        <f t="shared" si="0"/>
        <v>10.424305626401438</v>
      </c>
      <c r="E32">
        <f t="shared" si="1"/>
        <v>5.7296381944787157E-3</v>
      </c>
    </row>
    <row r="33" spans="1:5" x14ac:dyDescent="0.25">
      <c r="A33">
        <v>15.5</v>
      </c>
      <c r="B33" t="s">
        <v>83</v>
      </c>
      <c r="C33">
        <v>10.3</v>
      </c>
      <c r="D33">
        <f t="shared" si="0"/>
        <v>10.148181673514815</v>
      </c>
      <c r="E33">
        <f t="shared" si="1"/>
        <v>2.3048804256762531E-2</v>
      </c>
    </row>
    <row r="34" spans="1:5" x14ac:dyDescent="0.25">
      <c r="A34">
        <v>16</v>
      </c>
      <c r="B34" t="s">
        <v>84</v>
      </c>
      <c r="C34">
        <v>10</v>
      </c>
      <c r="D34">
        <f t="shared" si="0"/>
        <v>9.8839258417593499</v>
      </c>
      <c r="E34">
        <f t="shared" si="1"/>
        <v>1.3473210211275491E-2</v>
      </c>
    </row>
    <row r="35" spans="1:5" x14ac:dyDescent="0.25">
      <c r="A35">
        <v>16.5</v>
      </c>
      <c r="B35" t="s">
        <v>85</v>
      </c>
      <c r="C35">
        <v>9.6999999999999993</v>
      </c>
      <c r="D35">
        <f t="shared" si="0"/>
        <v>9.6310280258083978</v>
      </c>
      <c r="E35">
        <f t="shared" si="1"/>
        <v>4.7571332238869439E-3</v>
      </c>
    </row>
    <row r="36" spans="1:5" x14ac:dyDescent="0.25">
      <c r="A36">
        <v>17</v>
      </c>
      <c r="B36" t="s">
        <v>86</v>
      </c>
      <c r="C36">
        <v>9.5</v>
      </c>
      <c r="D36">
        <f t="shared" si="0"/>
        <v>9.3890000452416409</v>
      </c>
      <c r="E36">
        <f t="shared" si="1"/>
        <v>1.232098995635777E-2</v>
      </c>
    </row>
    <row r="37" spans="1:5" x14ac:dyDescent="0.25">
      <c r="A37">
        <v>17.5</v>
      </c>
      <c r="B37" t="s">
        <v>87</v>
      </c>
      <c r="C37">
        <v>9.1999999999999993</v>
      </c>
      <c r="D37">
        <f t="shared" si="0"/>
        <v>9.1573747021877434</v>
      </c>
      <c r="E37">
        <f t="shared" si="1"/>
        <v>1.8169160135835059E-3</v>
      </c>
    </row>
    <row r="38" spans="1:5" x14ac:dyDescent="0.25">
      <c r="A38">
        <v>18</v>
      </c>
      <c r="B38" t="s">
        <v>88</v>
      </c>
      <c r="C38">
        <v>9</v>
      </c>
      <c r="D38">
        <f t="shared" si="0"/>
        <v>8.9357048794705385</v>
      </c>
      <c r="E38">
        <f t="shared" si="1"/>
        <v>4.1338625238979835E-3</v>
      </c>
    </row>
    <row r="39" spans="1:5" x14ac:dyDescent="0.25">
      <c r="A39">
        <v>18.5</v>
      </c>
      <c r="B39" t="s">
        <v>89</v>
      </c>
      <c r="C39">
        <v>8.6999999999999993</v>
      </c>
      <c r="D39">
        <f t="shared" si="0"/>
        <v>8.7235626775179487</v>
      </c>
      <c r="E39">
        <f t="shared" si="1"/>
        <v>5.5519977181487724E-4</v>
      </c>
    </row>
    <row r="40" spans="1:5" x14ac:dyDescent="0.25">
      <c r="A40">
        <v>19</v>
      </c>
      <c r="B40" t="s">
        <v>90</v>
      </c>
      <c r="C40">
        <v>8.5</v>
      </c>
      <c r="D40">
        <f t="shared" si="0"/>
        <v>8.5205385883675433</v>
      </c>
      <c r="E40">
        <f t="shared" si="1"/>
        <v>4.2183361213138484E-4</v>
      </c>
    </row>
    <row r="41" spans="1:5" x14ac:dyDescent="0.25">
      <c r="A41">
        <v>19.5</v>
      </c>
      <c r="B41" t="s">
        <v>91</v>
      </c>
      <c r="C41">
        <v>8.3000000000000007</v>
      </c>
      <c r="D41">
        <f t="shared" si="0"/>
        <v>8.32624070517425</v>
      </c>
      <c r="E41">
        <f t="shared" si="1"/>
        <v>6.8857460804187169E-4</v>
      </c>
    </row>
    <row r="42" spans="1:5" x14ac:dyDescent="0.25">
      <c r="A42">
        <v>20</v>
      </c>
      <c r="B42" t="s">
        <v>92</v>
      </c>
      <c r="C42">
        <v>8</v>
      </c>
      <c r="D42">
        <f t="shared" si="0"/>
        <v>8.1402939656943474</v>
      </c>
      <c r="E42">
        <f t="shared" si="1"/>
        <v>1.9682396810246718E-2</v>
      </c>
    </row>
    <row r="43" spans="1:5" x14ac:dyDescent="0.25">
      <c r="A43">
        <v>20.5</v>
      </c>
      <c r="B43" t="s">
        <v>93</v>
      </c>
      <c r="C43">
        <v>7.8</v>
      </c>
      <c r="D43">
        <f t="shared" si="0"/>
        <v>7.962339428285369</v>
      </c>
      <c r="E43">
        <f t="shared" si="1"/>
        <v>2.6354089976020522E-2</v>
      </c>
    </row>
    <row r="44" spans="1:5" x14ac:dyDescent="0.25">
      <c r="A44">
        <v>21</v>
      </c>
      <c r="B44" t="s">
        <v>94</v>
      </c>
      <c r="C44">
        <v>7.6</v>
      </c>
      <c r="D44">
        <f t="shared" si="0"/>
        <v>7.7920335790243431</v>
      </c>
      <c r="E44">
        <f t="shared" si="1"/>
        <v>3.6876895472898776E-2</v>
      </c>
    </row>
    <row r="45" spans="1:5" x14ac:dyDescent="0.25">
      <c r="A45">
        <v>21.5</v>
      </c>
      <c r="B45" t="s">
        <v>95</v>
      </c>
      <c r="C45">
        <v>7.4</v>
      </c>
      <c r="D45">
        <f t="shared" si="0"/>
        <v>7.6290476686068889</v>
      </c>
      <c r="E45">
        <f t="shared" si="1"/>
        <v>5.2462834494251029E-2</v>
      </c>
    </row>
    <row r="46" spans="1:5" x14ac:dyDescent="0.25">
      <c r="A46">
        <v>22</v>
      </c>
      <c r="B46" t="s">
        <v>96</v>
      </c>
      <c r="C46">
        <v>7.2</v>
      </c>
      <c r="D46">
        <f t="shared" si="0"/>
        <v>7.4730670777471371</v>
      </c>
      <c r="E46">
        <f>(C46-D46)^2</f>
        <v>7.4565628949360904E-2</v>
      </c>
    </row>
    <row r="47" spans="1:5" x14ac:dyDescent="0.25">
      <c r="A47">
        <v>22.5</v>
      </c>
      <c r="B47" t="s">
        <v>97</v>
      </c>
      <c r="C47">
        <v>7</v>
      </c>
      <c r="D47">
        <f t="shared" si="0"/>
        <v>7.3237907098534887</v>
      </c>
      <c r="E47">
        <f t="shared" si="1"/>
        <v>0.10484042378742608</v>
      </c>
    </row>
    <row r="48" spans="1:5" x14ac:dyDescent="0.25">
      <c r="A48">
        <v>23</v>
      </c>
      <c r="B48" t="s">
        <v>98</v>
      </c>
      <c r="C48">
        <v>6.7</v>
      </c>
      <c r="D48">
        <f t="shared" si="0"/>
        <v>7.1809304098078517</v>
      </c>
      <c r="E48">
        <f t="shared" si="1"/>
        <v>0.23129405907794801</v>
      </c>
    </row>
    <row r="49" spans="1:5" x14ac:dyDescent="0.25">
      <c r="A49">
        <v>23.5</v>
      </c>
      <c r="B49" t="s">
        <v>99</v>
      </c>
      <c r="C49">
        <v>6.5</v>
      </c>
      <c r="D49">
        <f t="shared" si="0"/>
        <v>7.0442104077264114</v>
      </c>
      <c r="E49">
        <f t="shared" si="1"/>
        <v>0.29616496787774693</v>
      </c>
    </row>
    <row r="50" spans="1:5" x14ac:dyDescent="0.25">
      <c r="A50">
        <v>24</v>
      </c>
      <c r="B50" t="s">
        <v>100</v>
      </c>
      <c r="C50">
        <v>6.3</v>
      </c>
      <c r="D50">
        <f t="shared" si="0"/>
        <v>6.9133667866281918</v>
      </c>
      <c r="E50">
        <f t="shared" si="1"/>
        <v>0.37621881493859399</v>
      </c>
    </row>
    <row r="51" spans="1:5" x14ac:dyDescent="0.25">
      <c r="A51">
        <v>24.5</v>
      </c>
      <c r="B51" t="s">
        <v>101</v>
      </c>
      <c r="C51">
        <v>6.1</v>
      </c>
      <c r="D51">
        <f t="shared" si="0"/>
        <v>6.7881469729838351</v>
      </c>
      <c r="E51">
        <f t="shared" si="1"/>
        <v>0.47354625642681553</v>
      </c>
    </row>
    <row r="52" spans="1:5" x14ac:dyDescent="0.25">
      <c r="A52">
        <v>25</v>
      </c>
      <c r="B52" t="s">
        <v>102</v>
      </c>
      <c r="C52">
        <v>6</v>
      </c>
      <c r="D52">
        <f t="shared" si="0"/>
        <v>6.6683092491611573</v>
      </c>
      <c r="E52">
        <f t="shared" si="1"/>
        <v>0.44663725251434983</v>
      </c>
    </row>
    <row r="53" spans="1:5" x14ac:dyDescent="0.25">
      <c r="A53">
        <v>25.5</v>
      </c>
      <c r="B53" t="s">
        <v>103</v>
      </c>
      <c r="C53">
        <v>5.8</v>
      </c>
      <c r="D53">
        <f t="shared" si="0"/>
        <v>6.5536222868263607</v>
      </c>
      <c r="E53">
        <f t="shared" si="1"/>
        <v>0.56794655120139381</v>
      </c>
    </row>
    <row r="54" spans="1:5" x14ac:dyDescent="0.25">
      <c r="A54">
        <v>26</v>
      </c>
      <c r="B54" t="s">
        <v>104</v>
      </c>
      <c r="C54">
        <v>5.6</v>
      </c>
      <c r="D54">
        <f t="shared" si="0"/>
        <v>6.4438647004001925</v>
      </c>
      <c r="E54">
        <f t="shared" si="1"/>
        <v>0.71210763258150733</v>
      </c>
    </row>
    <row r="55" spans="1:5" x14ac:dyDescent="0.25">
      <c r="A55">
        <v>26.5</v>
      </c>
      <c r="B55" t="s">
        <v>105</v>
      </c>
      <c r="C55">
        <v>5.4</v>
      </c>
      <c r="D55">
        <f t="shared" si="0"/>
        <v>6.3388246197070544</v>
      </c>
      <c r="E55">
        <f t="shared" si="1"/>
        <v>0.88139166656809453</v>
      </c>
    </row>
    <row r="56" spans="1:5" x14ac:dyDescent="0.25">
      <c r="A56">
        <v>27</v>
      </c>
      <c r="B56" t="s">
        <v>106</v>
      </c>
      <c r="C56">
        <v>5.3</v>
      </c>
      <c r="D56">
        <f t="shared" si="0"/>
        <v>6.2382992809921509</v>
      </c>
      <c r="E56">
        <f t="shared" si="1"/>
        <v>0.88040554071038768</v>
      </c>
    </row>
    <row r="57" spans="1:5" x14ac:dyDescent="0.25">
      <c r="A57">
        <v>27.5</v>
      </c>
      <c r="B57" t="s">
        <v>107</v>
      </c>
      <c r="C57">
        <v>5.3</v>
      </c>
      <c r="D57">
        <f t="shared" si="0"/>
        <v>6.142094635517175</v>
      </c>
      <c r="E57">
        <f t="shared" si="1"/>
        <v>0.70912337516680424</v>
      </c>
    </row>
    <row r="58" spans="1:5" x14ac:dyDescent="0.25">
      <c r="A58">
        <v>28</v>
      </c>
      <c r="B58" t="s">
        <v>108</v>
      </c>
      <c r="C58">
        <v>5.4</v>
      </c>
      <c r="D58">
        <f t="shared" si="0"/>
        <v>6.0500249749790047</v>
      </c>
      <c r="E58">
        <f>(C58-D58)^2</f>
        <v>0.42253246809645523</v>
      </c>
    </row>
    <row r="60" spans="1:5" x14ac:dyDescent="0.25">
      <c r="D60" t="s">
        <v>156</v>
      </c>
      <c r="E60">
        <f>SUM(E2:E58)</f>
        <v>9.7577293576493211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TZ0323110038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RYZEN5 2</dc:creator>
  <cp:lastModifiedBy>Personal Freight</cp:lastModifiedBy>
  <dcterms:created xsi:type="dcterms:W3CDTF">2025-04-29T20:12:20Z</dcterms:created>
  <dcterms:modified xsi:type="dcterms:W3CDTF">2025-05-02T15:19:00Z</dcterms:modified>
</cp:coreProperties>
</file>