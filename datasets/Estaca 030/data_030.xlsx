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5 2\Desktop\Datos modelo de descenso\Estaca 030\"/>
    </mc:Choice>
  </mc:AlternateContent>
  <xr:revisionPtr revIDLastSave="0" documentId="13_ncr:1_{09308A3C-A100-4098-BF0F-AB22FBEF4B7B}" xr6:coauthVersionLast="47" xr6:coauthVersionMax="47" xr10:uidLastSave="{00000000-0000-0000-0000-000000000000}"/>
  <bookViews>
    <workbookView minimized="1" xWindow="6660" yWindow="4470" windowWidth="21600" windowHeight="11385" activeTab="1" xr2:uid="{E2FE23EF-3BA0-4B1A-9FDA-27A148D0E338}"/>
  </bookViews>
  <sheets>
    <sheet name="TZ0324052642" sheetId="1" r:id="rId1"/>
    <sheet name="data_030" sheetId="2" r:id="rId2"/>
  </sheets>
  <definedNames>
    <definedName name="solver_adj" localSheetId="1" hidden="1">data_030!$M$17</definedName>
    <definedName name="solver_eng" localSheetId="1" hidden="1">1</definedName>
    <definedName name="solver_neg" localSheetId="1" hidden="1">1</definedName>
    <definedName name="solver_ntr" localSheetId="1" hidden="1">1</definedName>
    <definedName name="solver_opt" localSheetId="1" hidden="1">data_030!$F$47</definedName>
    <definedName name="solver_rxv" localSheetId="1" hidden="1">1</definedName>
    <definedName name="solver_typ" localSheetId="1" hidden="1">2</definedName>
    <definedName name="solver_val" localSheetId="1" hidden="1">0</definedName>
  </definedNames>
  <calcPr calcId="191029"/>
</workbook>
</file>

<file path=xl/calcChain.xml><?xml version="1.0" encoding="utf-8"?>
<calcChain xmlns="http://schemas.openxmlformats.org/spreadsheetml/2006/main">
  <c r="H45" i="2" l="1"/>
  <c r="E48" i="2"/>
  <c r="E4" i="2"/>
  <c r="E3" i="2"/>
  <c r="E2" i="2"/>
  <c r="D17" i="2"/>
  <c r="D18" i="2"/>
  <c r="D19" i="2"/>
  <c r="D20" i="2"/>
  <c r="F20" i="2" s="1"/>
  <c r="D21" i="2"/>
  <c r="D22" i="2"/>
  <c r="D23" i="2"/>
  <c r="D24" i="2"/>
  <c r="F24" i="2" s="1"/>
  <c r="D25" i="2"/>
  <c r="D26" i="2"/>
  <c r="E26" i="2" s="1"/>
  <c r="D27" i="2"/>
  <c r="F27" i="2" s="1"/>
  <c r="D28" i="2"/>
  <c r="F28" i="2" s="1"/>
  <c r="D29" i="2"/>
  <c r="D30" i="2"/>
  <c r="D31" i="2"/>
  <c r="D32" i="2"/>
  <c r="F32" i="2" s="1"/>
  <c r="D33" i="2"/>
  <c r="D34" i="2"/>
  <c r="D35" i="2"/>
  <c r="E35" i="2" s="1"/>
  <c r="D36" i="2"/>
  <c r="E36" i="2" s="1"/>
  <c r="D37" i="2"/>
  <c r="E37" i="2" s="1"/>
  <c r="D38" i="2"/>
  <c r="E38" i="2" s="1"/>
  <c r="D39" i="2"/>
  <c r="F39" i="2" s="1"/>
  <c r="D40" i="2"/>
  <c r="F40" i="2" s="1"/>
  <c r="D41" i="2"/>
  <c r="D42" i="2"/>
  <c r="D43" i="2"/>
  <c r="D44" i="2"/>
  <c r="F44" i="2" s="1"/>
  <c r="D3" i="2"/>
  <c r="D4" i="2"/>
  <c r="D5" i="2"/>
  <c r="D6" i="2"/>
  <c r="F6" i="2" s="1"/>
  <c r="D7" i="2"/>
  <c r="F7" i="2" s="1"/>
  <c r="D8" i="2"/>
  <c r="D9" i="2"/>
  <c r="D10" i="2"/>
  <c r="D11" i="2"/>
  <c r="D12" i="2"/>
  <c r="F12" i="2" s="1"/>
  <c r="D13" i="2"/>
  <c r="F13" i="2" s="1"/>
  <c r="D14" i="2"/>
  <c r="F14" i="2" s="1"/>
  <c r="D15" i="2"/>
  <c r="D16" i="2"/>
  <c r="F15" i="2"/>
  <c r="D2" i="2"/>
  <c r="F2" i="2" s="1"/>
  <c r="H3" i="2"/>
  <c r="N22" i="2"/>
  <c r="N23" i="2"/>
  <c r="N24" i="2"/>
  <c r="N25" i="2"/>
  <c r="N26" i="2"/>
  <c r="N27" i="2"/>
  <c r="N28" i="2"/>
  <c r="N29" i="2"/>
  <c r="N21" i="2"/>
  <c r="F4" i="2"/>
  <c r="F3" i="2"/>
  <c r="F5" i="2"/>
  <c r="F8" i="2"/>
  <c r="F9" i="2"/>
  <c r="F10" i="2"/>
  <c r="F11" i="2"/>
  <c r="F16" i="2"/>
  <c r="F17" i="2"/>
  <c r="F18" i="2"/>
  <c r="F19" i="2"/>
  <c r="F21" i="2"/>
  <c r="F22" i="2"/>
  <c r="F23" i="2"/>
  <c r="F25" i="2"/>
  <c r="F26" i="2"/>
  <c r="F29" i="2"/>
  <c r="F30" i="2"/>
  <c r="F31" i="2"/>
  <c r="F33" i="2"/>
  <c r="F34" i="2"/>
  <c r="F35" i="2"/>
  <c r="F37" i="2"/>
  <c r="F38" i="2"/>
  <c r="F41" i="2"/>
  <c r="F42" i="2"/>
  <c r="F43" i="2"/>
  <c r="E29" i="2"/>
  <c r="E30" i="2"/>
  <c r="E31" i="2"/>
  <c r="E32" i="2"/>
  <c r="E33" i="2"/>
  <c r="E34" i="2"/>
  <c r="E41" i="2"/>
  <c r="E42" i="2"/>
  <c r="E43" i="2"/>
  <c r="E44" i="2"/>
  <c r="G14" i="2"/>
  <c r="K31" i="2"/>
  <c r="Q21" i="2"/>
  <c r="H4" i="2"/>
  <c r="H5" i="2"/>
  <c r="H48" i="2"/>
  <c r="H6" i="2"/>
  <c r="I45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6" i="2"/>
  <c r="I7" i="2"/>
  <c r="I5" i="2"/>
  <c r="H46" i="2"/>
  <c r="H56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7" i="2"/>
  <c r="H49" i="2"/>
  <c r="H50" i="2"/>
  <c r="H51" i="2"/>
  <c r="H52" i="2"/>
  <c r="H53" i="2"/>
  <c r="H54" i="2"/>
  <c r="H55" i="2"/>
  <c r="H57" i="2"/>
  <c r="H58" i="2"/>
  <c r="H59" i="2"/>
  <c r="H2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7" i="2"/>
  <c r="F36" i="2" l="1"/>
  <c r="E28" i="2"/>
  <c r="E40" i="2"/>
  <c r="E27" i="2"/>
  <c r="E39" i="2"/>
  <c r="F47" i="2"/>
  <c r="Q14" i="2"/>
  <c r="Q13" i="2"/>
  <c r="E15" i="2"/>
  <c r="E14" i="2"/>
  <c r="E13" i="2"/>
  <c r="E12" i="2"/>
  <c r="E24" i="2"/>
  <c r="E10" i="2"/>
  <c r="E25" i="2"/>
  <c r="E23" i="2"/>
  <c r="E9" i="2"/>
  <c r="E22" i="2"/>
  <c r="E8" i="2"/>
  <c r="E6" i="2"/>
  <c r="E19" i="2"/>
  <c r="E17" i="2"/>
  <c r="E5" i="2"/>
  <c r="E16" i="2"/>
  <c r="E21" i="2" l="1"/>
  <c r="E20" i="2"/>
  <c r="E18" i="2"/>
  <c r="E11" i="2"/>
  <c r="E7" i="2"/>
  <c r="F45" i="2"/>
</calcChain>
</file>

<file path=xl/sharedStrings.xml><?xml version="1.0" encoding="utf-8"?>
<sst xmlns="http://schemas.openxmlformats.org/spreadsheetml/2006/main" count="211" uniqueCount="133">
  <si>
    <t>Device Information</t>
  </si>
  <si>
    <t>******************************</t>
  </si>
  <si>
    <t>Device Type:    TZ-TempU03</t>
  </si>
  <si>
    <t>Firmware Ver:   4.06</t>
  </si>
  <si>
    <t>ID:             TZ0324052642</t>
  </si>
  <si>
    <t>Start Delay:    0 min</t>
  </si>
  <si>
    <t>Log Interval:   30 sec</t>
  </si>
  <si>
    <t>Description:    Pruebas termicas</t>
  </si>
  <si>
    <t>Note:</t>
  </si>
  <si>
    <t>All times shown are based on UTC-6:00 and 24-Hour clock[DD/MM/YY HH:MM:SS]</t>
  </si>
  <si>
    <t>Logging Summary</t>
  </si>
  <si>
    <t>First Point:   29/04/25 12:42:47</t>
  </si>
  <si>
    <t>Stop Time:     29/04/25 13:16:17</t>
  </si>
  <si>
    <t>Number of Points:   68</t>
  </si>
  <si>
    <t>Trip Length:   00d 00h 33m 30s</t>
  </si>
  <si>
    <t>Start Mode:    Button Start</t>
  </si>
  <si>
    <t>Stop Mode:    Manual Stop</t>
  </si>
  <si>
    <t>Max:    28.0C(Temp)/66.1%RH(Humidity)</t>
  </si>
  <si>
    <t>Min:    2.2C(Temp)/29.5%RH(Humidity)</t>
  </si>
  <si>
    <t>Average:12.4C(Temp)/34.5%RH(Humidity)</t>
  </si>
  <si>
    <t>MKT:    17.1C</t>
  </si>
  <si>
    <t>Marked Events</t>
  </si>
  <si>
    <t>N/A</t>
  </si>
  <si>
    <t xml:space="preserve">Alarm Condition	 </t>
  </si>
  <si>
    <t xml:space="preserve">Alarm Delay	 </t>
  </si>
  <si>
    <t xml:space="preserve">First Point Time	  </t>
  </si>
  <si>
    <t xml:space="preserve">Time of Violations 	</t>
  </si>
  <si>
    <t xml:space="preserve">No.of Violations	  </t>
  </si>
  <si>
    <t>Status</t>
  </si>
  <si>
    <t>Over 8.0C</t>
  </si>
  <si>
    <t>00d 00h 10m 00s</t>
  </si>
  <si>
    <t xml:space="preserve"> 29/04/25 12:42:47</t>
  </si>
  <si>
    <t>00d 00h 18m 30s</t>
  </si>
  <si>
    <t>Alarm</t>
  </si>
  <si>
    <t>Below 2.0C</t>
  </si>
  <si>
    <t>00/00/00 00:00:00</t>
  </si>
  <si>
    <t>00d 00h 00m 00s</t>
  </si>
  <si>
    <t>OK</t>
  </si>
  <si>
    <t>Over 90.0%RH</t>
  </si>
  <si>
    <t>Below 15.0%RH</t>
  </si>
  <si>
    <t>Date</t>
  </si>
  <si>
    <t>Time</t>
  </si>
  <si>
    <t>Temperature(C)</t>
  </si>
  <si>
    <t>Humidity(%RH)</t>
  </si>
  <si>
    <t xml:space="preserve"> 12:42:47</t>
  </si>
  <si>
    <t xml:space="preserve"> 12:43:17</t>
  </si>
  <si>
    <t xml:space="preserve"> 12:43:47</t>
  </si>
  <si>
    <t xml:space="preserve"> 12:44:17</t>
  </si>
  <si>
    <t xml:space="preserve"> 12:44:47</t>
  </si>
  <si>
    <t xml:space="preserve"> 12:45:17</t>
  </si>
  <si>
    <t xml:space="preserve"> 12:45:47</t>
  </si>
  <si>
    <t xml:space="preserve"> 12:46:17</t>
  </si>
  <si>
    <t xml:space="preserve"> 12:46:47</t>
  </si>
  <si>
    <t xml:space="preserve"> 12:47:17</t>
  </si>
  <si>
    <t xml:space="preserve"> 12:47:47</t>
  </si>
  <si>
    <t xml:space="preserve"> 12:48:17</t>
  </si>
  <si>
    <t xml:space="preserve"> 12:48:47</t>
  </si>
  <si>
    <t xml:space="preserve"> 12:49:17</t>
  </si>
  <si>
    <t xml:space="preserve"> 12:49:47</t>
  </si>
  <si>
    <t xml:space="preserve"> 12:50:17</t>
  </si>
  <si>
    <t xml:space="preserve"> 12:50:47</t>
  </si>
  <si>
    <t xml:space="preserve"> 12:51:17</t>
  </si>
  <si>
    <t xml:space="preserve"> 12:51:47</t>
  </si>
  <si>
    <t xml:space="preserve"> 12:52:17</t>
  </si>
  <si>
    <t xml:space="preserve"> 12:52:47</t>
  </si>
  <si>
    <t xml:space="preserve"> 12:53:17</t>
  </si>
  <si>
    <t xml:space="preserve"> 12:53:47</t>
  </si>
  <si>
    <t xml:space="preserve"> 12:54:17</t>
  </si>
  <si>
    <t xml:space="preserve"> 12:54:47</t>
  </si>
  <si>
    <t xml:space="preserve"> 12:55:17</t>
  </si>
  <si>
    <t xml:space="preserve"> 12:55:47</t>
  </si>
  <si>
    <t xml:space="preserve"> 12:56:17</t>
  </si>
  <si>
    <t xml:space="preserve"> 12:56:47</t>
  </si>
  <si>
    <t xml:space="preserve"> 12:57:17</t>
  </si>
  <si>
    <t xml:space="preserve"> 12:57:47</t>
  </si>
  <si>
    <t xml:space="preserve"> 12:58:17</t>
  </si>
  <si>
    <t xml:space="preserve"> 12:58:47</t>
  </si>
  <si>
    <t xml:space="preserve"> 12:59:17</t>
  </si>
  <si>
    <t xml:space="preserve"> 12:59:47</t>
  </si>
  <si>
    <t xml:space="preserve"> 13:00:17</t>
  </si>
  <si>
    <t xml:space="preserve"> 13:00:47</t>
  </si>
  <si>
    <t xml:space="preserve"> 13:01:17</t>
  </si>
  <si>
    <t xml:space="preserve"> 13:01:47</t>
  </si>
  <si>
    <t xml:space="preserve"> 13:02:17</t>
  </si>
  <si>
    <t xml:space="preserve"> 13:02:47</t>
  </si>
  <si>
    <t xml:space="preserve"> 13:03:17</t>
  </si>
  <si>
    <t xml:space="preserve"> 13:03:47</t>
  </si>
  <si>
    <t xml:space="preserve"> 13:04:17</t>
  </si>
  <si>
    <t xml:space="preserve"> 13:04:47</t>
  </si>
  <si>
    <t xml:space="preserve"> 13:05:17</t>
  </si>
  <si>
    <t xml:space="preserve"> 13:05:47</t>
  </si>
  <si>
    <t xml:space="preserve"> 13:06:17</t>
  </si>
  <si>
    <t xml:space="preserve"> 13:06:47</t>
  </si>
  <si>
    <t xml:space="preserve"> 13:07:17</t>
  </si>
  <si>
    <t xml:space="preserve"> 13:07:47</t>
  </si>
  <si>
    <t xml:space="preserve"> 13:08:17</t>
  </si>
  <si>
    <t xml:space="preserve"> 13:08:47</t>
  </si>
  <si>
    <t xml:space="preserve"> 13:09:17</t>
  </si>
  <si>
    <t xml:space="preserve"> 13:09:47</t>
  </si>
  <si>
    <t xml:space="preserve"> 13:10:17</t>
  </si>
  <si>
    <t xml:space="preserve"> 13:10:47</t>
  </si>
  <si>
    <t xml:space="preserve"> 13:11:17</t>
  </si>
  <si>
    <t xml:space="preserve"> 13:11:47</t>
  </si>
  <si>
    <t xml:space="preserve"> 13:12:17</t>
  </si>
  <si>
    <t xml:space="preserve"> 13:12:47</t>
  </si>
  <si>
    <t xml:space="preserve"> 13:13:17</t>
  </si>
  <si>
    <t xml:space="preserve"> 13:13:47</t>
  </si>
  <si>
    <t xml:space="preserve"> 13:14:17</t>
  </si>
  <si>
    <t xml:space="preserve"> 13:14:47</t>
  </si>
  <si>
    <t xml:space="preserve"> 13:15:17</t>
  </si>
  <si>
    <t xml:space="preserve"> 13:15:47</t>
  </si>
  <si>
    <t xml:space="preserve"> 13:16:17</t>
  </si>
  <si>
    <t>Temp</t>
  </si>
  <si>
    <t>Temperatura ambiental (T0)</t>
  </si>
  <si>
    <t>k</t>
  </si>
  <si>
    <t>T_objetivo</t>
  </si>
  <si>
    <t>Usar diferencial de tiempo entre 2 puntos para estimar k</t>
  </si>
  <si>
    <t>time (min)</t>
  </si>
  <si>
    <t>delta_T</t>
  </si>
  <si>
    <t>## en promedio, el sistema baja 1 grado por minuto durante los primeros 18 min</t>
  </si>
  <si>
    <t>k_promedio</t>
  </si>
  <si>
    <t>descenso promedio:</t>
  </si>
  <si>
    <t>Usar k para predecir valores temp</t>
  </si>
  <si>
    <t>T(t)</t>
  </si>
  <si>
    <t>Tmodelo</t>
  </si>
  <si>
    <t>k propuesta2:</t>
  </si>
  <si>
    <t>k2=</t>
  </si>
  <si>
    <t>error</t>
  </si>
  <si>
    <t>k_opt</t>
  </si>
  <si>
    <t>27.4 + (27.3 - 27.4) * EXP(-H2 * A2)</t>
  </si>
  <si>
    <t>T_pruebapasada</t>
  </si>
  <si>
    <t>#Nota: en el tiempo marcado en amarillo el sistema ya alcanzo su sp</t>
  </si>
  <si>
    <t>por lo que se deja fuera del modelo de decaimiento de 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</si>
</sst>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data_030!$B$1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3.9726596675415574E-2"/>
                  <c:y val="-0.1714395596383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</c:trendlineLbl>
          </c:trendline>
          <c:xVal>
            <c:strRef>
              <c:f>data_030!$B$2:$B$45</c:f>
              <c:strCache>
                <c:ptCount val="44"/>
                <c:pt idx="0">
                  <c:v> 12:45:47</c:v>
                </c:pt>
                <c:pt idx="1">
                  <c:v> 12:46:17</c:v>
                </c:pt>
                <c:pt idx="2">
                  <c:v> 12:46:47</c:v>
                </c:pt>
                <c:pt idx="3">
                  <c:v> 12:47:17</c:v>
                </c:pt>
                <c:pt idx="4">
                  <c:v> 12:47:47</c:v>
                </c:pt>
                <c:pt idx="5">
                  <c:v> 12:48:17</c:v>
                </c:pt>
                <c:pt idx="6">
                  <c:v> 12:48:47</c:v>
                </c:pt>
                <c:pt idx="7">
                  <c:v> 12:49:17</c:v>
                </c:pt>
                <c:pt idx="8">
                  <c:v> 12:49:47</c:v>
                </c:pt>
                <c:pt idx="9">
                  <c:v> 12:50:17</c:v>
                </c:pt>
                <c:pt idx="10">
                  <c:v> 12:50:47</c:v>
                </c:pt>
                <c:pt idx="11">
                  <c:v> 12:51:17</c:v>
                </c:pt>
                <c:pt idx="12">
                  <c:v> 12:51:47</c:v>
                </c:pt>
                <c:pt idx="13">
                  <c:v> 12:52:17</c:v>
                </c:pt>
                <c:pt idx="14">
                  <c:v> 12:52:47</c:v>
                </c:pt>
                <c:pt idx="15">
                  <c:v> 12:53:17</c:v>
                </c:pt>
                <c:pt idx="16">
                  <c:v> 12:53:47</c:v>
                </c:pt>
                <c:pt idx="17">
                  <c:v> 12:54:17</c:v>
                </c:pt>
                <c:pt idx="18">
                  <c:v> 12:54:47</c:v>
                </c:pt>
                <c:pt idx="19">
                  <c:v> 12:55:17</c:v>
                </c:pt>
                <c:pt idx="20">
                  <c:v> 12:55:47</c:v>
                </c:pt>
                <c:pt idx="21">
                  <c:v> 12:56:17</c:v>
                </c:pt>
                <c:pt idx="22">
                  <c:v> 12:56:47</c:v>
                </c:pt>
                <c:pt idx="23">
                  <c:v> 12:57:17</c:v>
                </c:pt>
                <c:pt idx="24">
                  <c:v> 12:57:47</c:v>
                </c:pt>
                <c:pt idx="25">
                  <c:v> 12:58:17</c:v>
                </c:pt>
                <c:pt idx="26">
                  <c:v> 12:58:47</c:v>
                </c:pt>
                <c:pt idx="27">
                  <c:v> 12:59:17</c:v>
                </c:pt>
                <c:pt idx="28">
                  <c:v> 12:59:47</c:v>
                </c:pt>
                <c:pt idx="29">
                  <c:v> 13:00:17</c:v>
                </c:pt>
                <c:pt idx="30">
                  <c:v> 13:00:47</c:v>
                </c:pt>
                <c:pt idx="31">
                  <c:v> 13:01:17</c:v>
                </c:pt>
                <c:pt idx="32">
                  <c:v> 13:01:47</c:v>
                </c:pt>
                <c:pt idx="33">
                  <c:v> 13:02:17</c:v>
                </c:pt>
                <c:pt idx="34">
                  <c:v> 13:02:47</c:v>
                </c:pt>
                <c:pt idx="35">
                  <c:v> 13:03:17</c:v>
                </c:pt>
                <c:pt idx="36">
                  <c:v> 13:03:47</c:v>
                </c:pt>
                <c:pt idx="37">
                  <c:v> 13:04:17</c:v>
                </c:pt>
                <c:pt idx="38">
                  <c:v> 13:04:47</c:v>
                </c:pt>
                <c:pt idx="39">
                  <c:v> 13:05:17</c:v>
                </c:pt>
                <c:pt idx="40">
                  <c:v> 13:05:47</c:v>
                </c:pt>
                <c:pt idx="41">
                  <c:v> 13:06:17</c:v>
                </c:pt>
                <c:pt idx="42">
                  <c:v> 13:06:47</c:v>
                </c:pt>
                <c:pt idx="43">
                  <c:v> 13:07:17</c:v>
                </c:pt>
              </c:strCache>
            </c:strRef>
          </c:xVal>
          <c:yVal>
            <c:numRef>
              <c:f>data_030!$C$2:$C$45</c:f>
              <c:numCache>
                <c:formatCode>General</c:formatCode>
                <c:ptCount val="44"/>
                <c:pt idx="0">
                  <c:v>27.4</c:v>
                </c:pt>
                <c:pt idx="1">
                  <c:v>27.3</c:v>
                </c:pt>
                <c:pt idx="2">
                  <c:v>27.1</c:v>
                </c:pt>
                <c:pt idx="3">
                  <c:v>26.7</c:v>
                </c:pt>
                <c:pt idx="4">
                  <c:v>26.1</c:v>
                </c:pt>
                <c:pt idx="5">
                  <c:v>25.3</c:v>
                </c:pt>
                <c:pt idx="6">
                  <c:v>24.5</c:v>
                </c:pt>
                <c:pt idx="7">
                  <c:v>23.6</c:v>
                </c:pt>
                <c:pt idx="8">
                  <c:v>22.6</c:v>
                </c:pt>
                <c:pt idx="9">
                  <c:v>21.7</c:v>
                </c:pt>
                <c:pt idx="10">
                  <c:v>20.8</c:v>
                </c:pt>
                <c:pt idx="11">
                  <c:v>19.899999999999999</c:v>
                </c:pt>
                <c:pt idx="12">
                  <c:v>19.100000000000001</c:v>
                </c:pt>
                <c:pt idx="13">
                  <c:v>18.2</c:v>
                </c:pt>
                <c:pt idx="14">
                  <c:v>17.399999999999999</c:v>
                </c:pt>
                <c:pt idx="15">
                  <c:v>16.7</c:v>
                </c:pt>
                <c:pt idx="16">
                  <c:v>16</c:v>
                </c:pt>
                <c:pt idx="17">
                  <c:v>15.3</c:v>
                </c:pt>
                <c:pt idx="18">
                  <c:v>14.6</c:v>
                </c:pt>
                <c:pt idx="19">
                  <c:v>14</c:v>
                </c:pt>
                <c:pt idx="20">
                  <c:v>13.4</c:v>
                </c:pt>
                <c:pt idx="21">
                  <c:v>12.8</c:v>
                </c:pt>
                <c:pt idx="22">
                  <c:v>12.2</c:v>
                </c:pt>
                <c:pt idx="23">
                  <c:v>11.7</c:v>
                </c:pt>
                <c:pt idx="24">
                  <c:v>11.2</c:v>
                </c:pt>
                <c:pt idx="25">
                  <c:v>10.7</c:v>
                </c:pt>
                <c:pt idx="26">
                  <c:v>10.3</c:v>
                </c:pt>
                <c:pt idx="27">
                  <c:v>9.8000000000000007</c:v>
                </c:pt>
                <c:pt idx="28">
                  <c:v>9.3000000000000007</c:v>
                </c:pt>
                <c:pt idx="29">
                  <c:v>8.9</c:v>
                </c:pt>
                <c:pt idx="30">
                  <c:v>8.5</c:v>
                </c:pt>
                <c:pt idx="31">
                  <c:v>8.1</c:v>
                </c:pt>
                <c:pt idx="32">
                  <c:v>7.7</c:v>
                </c:pt>
                <c:pt idx="33">
                  <c:v>7.3</c:v>
                </c:pt>
                <c:pt idx="34">
                  <c:v>7</c:v>
                </c:pt>
                <c:pt idx="35">
                  <c:v>6.6</c:v>
                </c:pt>
                <c:pt idx="36">
                  <c:v>6.3</c:v>
                </c:pt>
                <c:pt idx="37">
                  <c:v>5.9</c:v>
                </c:pt>
                <c:pt idx="38">
                  <c:v>5.6</c:v>
                </c:pt>
                <c:pt idx="39">
                  <c:v>5.3</c:v>
                </c:pt>
                <c:pt idx="40">
                  <c:v>5</c:v>
                </c:pt>
                <c:pt idx="41">
                  <c:v>4.7</c:v>
                </c:pt>
                <c:pt idx="42">
                  <c:v>4.4000000000000004</c:v>
                </c:pt>
                <c:pt idx="43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1-43C8-880D-426AF39D0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68080"/>
        <c:axId val="1488070480"/>
      </c:scatterChart>
      <c:valAx>
        <c:axId val="148806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070480"/>
        <c:crosses val="autoZero"/>
        <c:crossBetween val="midCat"/>
      </c:valAx>
      <c:valAx>
        <c:axId val="148807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8068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61913</xdr:colOff>
      <xdr:row>17</xdr:row>
      <xdr:rowOff>95250</xdr:rowOff>
    </xdr:from>
    <xdr:to>
      <xdr:col>25</xdr:col>
      <xdr:colOff>61913</xdr:colOff>
      <xdr:row>31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646A69-2CC2-AC9E-5231-4C1EA421B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F292BA-2D50-40AD-B19B-84F1ECBC5702}">
  <we:reference id="wa104100404" version="3.0.0.1" store="es-ES" storeType="OMEX"/>
  <we:alternateReferences>
    <we:reference id="wa104100404" version="3.0.0.1" store="wa104100404" storeType="OMEX"/>
  </we:alternateReferences>
  <we:properties>
    <we:property name="UniqueID" value="&quot;2025329174596493315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C3DD-FD30-4FAF-933E-6129028D2568}">
  <dimension ref="A1:F105"/>
  <sheetViews>
    <sheetView topLeftCell="A76" workbookViewId="0">
      <selection activeCell="B44" sqref="B44:C105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6" x14ac:dyDescent="0.25">
      <c r="A17" t="s">
        <v>14</v>
      </c>
    </row>
    <row r="18" spans="1:6" x14ac:dyDescent="0.25">
      <c r="A18" t="s">
        <v>15</v>
      </c>
    </row>
    <row r="19" spans="1:6" x14ac:dyDescent="0.25">
      <c r="A19" t="s">
        <v>16</v>
      </c>
    </row>
    <row r="20" spans="1:6" x14ac:dyDescent="0.25">
      <c r="A20" t="s">
        <v>17</v>
      </c>
    </row>
    <row r="21" spans="1:6" x14ac:dyDescent="0.25">
      <c r="A21" t="s">
        <v>18</v>
      </c>
    </row>
    <row r="22" spans="1:6" x14ac:dyDescent="0.25">
      <c r="A22" t="s">
        <v>19</v>
      </c>
    </row>
    <row r="23" spans="1:6" x14ac:dyDescent="0.25">
      <c r="A23" t="s">
        <v>20</v>
      </c>
    </row>
    <row r="25" spans="1:6" x14ac:dyDescent="0.25">
      <c r="A25" t="s">
        <v>21</v>
      </c>
    </row>
    <row r="26" spans="1:6" x14ac:dyDescent="0.25">
      <c r="A26" t="s">
        <v>1</v>
      </c>
    </row>
    <row r="27" spans="1:6" x14ac:dyDescent="0.25">
      <c r="A27" t="s">
        <v>22</v>
      </c>
    </row>
    <row r="29" spans="1:6" x14ac:dyDescent="0.25">
      <c r="A29" t="s">
        <v>23</v>
      </c>
      <c r="B29" t="s">
        <v>24</v>
      </c>
      <c r="C29" t="s">
        <v>25</v>
      </c>
      <c r="D29" t="s">
        <v>26</v>
      </c>
      <c r="E29" t="s">
        <v>27</v>
      </c>
      <c r="F29" t="s">
        <v>28</v>
      </c>
    </row>
    <row r="30" spans="1:6" x14ac:dyDescent="0.25">
      <c r="A30" t="s">
        <v>1</v>
      </c>
      <c r="B30" t="s">
        <v>1</v>
      </c>
      <c r="C30" t="s">
        <v>1</v>
      </c>
      <c r="D30" t="s">
        <v>1</v>
      </c>
    </row>
    <row r="31" spans="1:6" x14ac:dyDescent="0.25">
      <c r="A31" t="s">
        <v>29</v>
      </c>
      <c r="B31" t="s">
        <v>30</v>
      </c>
      <c r="C31" t="s">
        <v>31</v>
      </c>
      <c r="D31" t="s">
        <v>32</v>
      </c>
      <c r="E31">
        <v>38</v>
      </c>
      <c r="F31" t="s">
        <v>33</v>
      </c>
    </row>
    <row r="32" spans="1:6" x14ac:dyDescent="0.25">
      <c r="A32" t="s">
        <v>34</v>
      </c>
      <c r="B32" t="s">
        <v>30</v>
      </c>
      <c r="C32" t="s">
        <v>35</v>
      </c>
      <c r="D32" t="s">
        <v>36</v>
      </c>
      <c r="E32">
        <v>0</v>
      </c>
      <c r="F32" t="s">
        <v>37</v>
      </c>
    </row>
    <row r="33" spans="1:6" x14ac:dyDescent="0.25">
      <c r="A33" t="s">
        <v>38</v>
      </c>
      <c r="B33" t="s">
        <v>30</v>
      </c>
      <c r="C33" t="s">
        <v>35</v>
      </c>
      <c r="D33" t="s">
        <v>36</v>
      </c>
      <c r="E33">
        <v>0</v>
      </c>
      <c r="F33" t="s">
        <v>37</v>
      </c>
    </row>
    <row r="34" spans="1:6" x14ac:dyDescent="0.25">
      <c r="A34" t="s">
        <v>39</v>
      </c>
      <c r="B34" t="s">
        <v>30</v>
      </c>
      <c r="C34" t="s">
        <v>35</v>
      </c>
      <c r="D34" t="s">
        <v>36</v>
      </c>
      <c r="E34">
        <v>0</v>
      </c>
      <c r="F34" t="s">
        <v>37</v>
      </c>
    </row>
    <row r="36" spans="1:6" x14ac:dyDescent="0.25">
      <c r="A36" t="s">
        <v>40</v>
      </c>
      <c r="B36" t="s">
        <v>41</v>
      </c>
      <c r="C36" t="s">
        <v>42</v>
      </c>
      <c r="D36" t="s">
        <v>43</v>
      </c>
    </row>
    <row r="37" spans="1:6" x14ac:dyDescent="0.25">
      <c r="A37" t="s">
        <v>1</v>
      </c>
      <c r="B37" t="s">
        <v>1</v>
      </c>
      <c r="C37" t="s">
        <v>1</v>
      </c>
      <c r="D37" t="s">
        <v>1</v>
      </c>
    </row>
    <row r="38" spans="1:6" x14ac:dyDescent="0.25">
      <c r="A38" s="1">
        <v>45776</v>
      </c>
      <c r="B38" t="s">
        <v>44</v>
      </c>
      <c r="C38">
        <v>27.9</v>
      </c>
      <c r="D38">
        <v>46.8</v>
      </c>
    </row>
    <row r="39" spans="1:6" x14ac:dyDescent="0.25">
      <c r="A39" s="1">
        <v>45776</v>
      </c>
      <c r="B39" t="s">
        <v>45</v>
      </c>
      <c r="C39">
        <v>28</v>
      </c>
      <c r="D39">
        <v>37.700000000000003</v>
      </c>
    </row>
    <row r="40" spans="1:6" x14ac:dyDescent="0.25">
      <c r="A40" s="1">
        <v>45776</v>
      </c>
      <c r="B40" t="s">
        <v>46</v>
      </c>
      <c r="C40">
        <v>27.9</v>
      </c>
      <c r="D40">
        <v>36.4</v>
      </c>
    </row>
    <row r="41" spans="1:6" x14ac:dyDescent="0.25">
      <c r="A41" s="1">
        <v>45776</v>
      </c>
      <c r="B41" t="s">
        <v>47</v>
      </c>
      <c r="C41">
        <v>27.8</v>
      </c>
      <c r="D41">
        <v>35.700000000000003</v>
      </c>
    </row>
    <row r="42" spans="1:6" x14ac:dyDescent="0.25">
      <c r="A42" s="1">
        <v>45776</v>
      </c>
      <c r="B42" t="s">
        <v>48</v>
      </c>
      <c r="C42">
        <v>27.7</v>
      </c>
      <c r="D42">
        <v>34.700000000000003</v>
      </c>
    </row>
    <row r="43" spans="1:6" x14ac:dyDescent="0.25">
      <c r="A43" s="1">
        <v>45776</v>
      </c>
      <c r="B43" t="s">
        <v>49</v>
      </c>
      <c r="C43">
        <v>27.5</v>
      </c>
      <c r="D43">
        <v>34.700000000000003</v>
      </c>
    </row>
    <row r="44" spans="1:6" x14ac:dyDescent="0.25">
      <c r="A44" s="1">
        <v>45776</v>
      </c>
      <c r="B44" t="s">
        <v>50</v>
      </c>
      <c r="C44">
        <v>27.4</v>
      </c>
      <c r="D44">
        <v>34.4</v>
      </c>
    </row>
    <row r="45" spans="1:6" x14ac:dyDescent="0.25">
      <c r="A45" s="1">
        <v>45776</v>
      </c>
      <c r="B45" t="s">
        <v>51</v>
      </c>
      <c r="C45">
        <v>27.3</v>
      </c>
      <c r="D45">
        <v>34.5</v>
      </c>
    </row>
    <row r="46" spans="1:6" x14ac:dyDescent="0.25">
      <c r="A46" s="1">
        <v>45776</v>
      </c>
      <c r="B46" t="s">
        <v>52</v>
      </c>
      <c r="C46">
        <v>27.1</v>
      </c>
      <c r="D46">
        <v>34.1</v>
      </c>
    </row>
    <row r="47" spans="1:6" x14ac:dyDescent="0.25">
      <c r="A47" s="1">
        <v>45776</v>
      </c>
      <c r="B47" t="s">
        <v>53</v>
      </c>
      <c r="C47">
        <v>26.7</v>
      </c>
      <c r="D47">
        <v>33.5</v>
      </c>
    </row>
    <row r="48" spans="1:6" x14ac:dyDescent="0.25">
      <c r="A48" s="1">
        <v>45776</v>
      </c>
      <c r="B48" t="s">
        <v>54</v>
      </c>
      <c r="C48">
        <v>26.1</v>
      </c>
      <c r="D48">
        <v>32.6</v>
      </c>
    </row>
    <row r="49" spans="1:4" x14ac:dyDescent="0.25">
      <c r="A49" s="1">
        <v>45776</v>
      </c>
      <c r="B49" t="s">
        <v>55</v>
      </c>
      <c r="C49">
        <v>25.3</v>
      </c>
      <c r="D49">
        <v>31.7</v>
      </c>
    </row>
    <row r="50" spans="1:4" x14ac:dyDescent="0.25">
      <c r="A50" s="1">
        <v>45776</v>
      </c>
      <c r="B50" t="s">
        <v>56</v>
      </c>
      <c r="C50">
        <v>24.5</v>
      </c>
      <c r="D50">
        <v>30.9</v>
      </c>
    </row>
    <row r="51" spans="1:4" x14ac:dyDescent="0.25">
      <c r="A51" s="1">
        <v>45776</v>
      </c>
      <c r="B51" t="s">
        <v>57</v>
      </c>
      <c r="C51">
        <v>23.6</v>
      </c>
      <c r="D51">
        <v>30.3</v>
      </c>
    </row>
    <row r="52" spans="1:4" x14ac:dyDescent="0.25">
      <c r="A52" s="1">
        <v>45776</v>
      </c>
      <c r="B52" t="s">
        <v>58</v>
      </c>
      <c r="C52">
        <v>22.6</v>
      </c>
      <c r="D52">
        <v>29.9</v>
      </c>
    </row>
    <row r="53" spans="1:4" x14ac:dyDescent="0.25">
      <c r="A53" s="1">
        <v>45776</v>
      </c>
      <c r="B53" t="s">
        <v>59</v>
      </c>
      <c r="C53">
        <v>21.7</v>
      </c>
      <c r="D53">
        <v>29.6</v>
      </c>
    </row>
    <row r="54" spans="1:4" x14ac:dyDescent="0.25">
      <c r="A54" s="1">
        <v>45776</v>
      </c>
      <c r="B54" t="s">
        <v>60</v>
      </c>
      <c r="C54">
        <v>20.8</v>
      </c>
      <c r="D54">
        <v>29.5</v>
      </c>
    </row>
    <row r="55" spans="1:4" x14ac:dyDescent="0.25">
      <c r="A55" s="1">
        <v>45776</v>
      </c>
      <c r="B55" t="s">
        <v>61</v>
      </c>
      <c r="C55">
        <v>19.899999999999999</v>
      </c>
      <c r="D55">
        <v>29.6</v>
      </c>
    </row>
    <row r="56" spans="1:4" x14ac:dyDescent="0.25">
      <c r="A56" s="1">
        <v>45776</v>
      </c>
      <c r="B56" t="s">
        <v>62</v>
      </c>
      <c r="C56">
        <v>19.100000000000001</v>
      </c>
      <c r="D56">
        <v>29.6</v>
      </c>
    </row>
    <row r="57" spans="1:4" x14ac:dyDescent="0.25">
      <c r="A57" s="1">
        <v>45776</v>
      </c>
      <c r="B57" t="s">
        <v>63</v>
      </c>
      <c r="C57">
        <v>18.2</v>
      </c>
      <c r="D57">
        <v>29.7</v>
      </c>
    </row>
    <row r="58" spans="1:4" x14ac:dyDescent="0.25">
      <c r="A58" s="1">
        <v>45776</v>
      </c>
      <c r="B58" t="s">
        <v>64</v>
      </c>
      <c r="C58">
        <v>17.399999999999999</v>
      </c>
      <c r="D58">
        <v>29.8</v>
      </c>
    </row>
    <row r="59" spans="1:4" x14ac:dyDescent="0.25">
      <c r="A59" s="1">
        <v>45776</v>
      </c>
      <c r="B59" t="s">
        <v>65</v>
      </c>
      <c r="C59">
        <v>16.7</v>
      </c>
      <c r="D59">
        <v>30.1</v>
      </c>
    </row>
    <row r="60" spans="1:4" x14ac:dyDescent="0.25">
      <c r="A60" s="1">
        <v>45776</v>
      </c>
      <c r="B60" t="s">
        <v>66</v>
      </c>
      <c r="C60">
        <v>16</v>
      </c>
      <c r="D60">
        <v>30.3</v>
      </c>
    </row>
    <row r="61" spans="1:4" x14ac:dyDescent="0.25">
      <c r="A61" s="1">
        <v>45776</v>
      </c>
      <c r="B61" t="s">
        <v>67</v>
      </c>
      <c r="C61">
        <v>15.3</v>
      </c>
      <c r="D61">
        <v>30.4</v>
      </c>
    </row>
    <row r="62" spans="1:4" x14ac:dyDescent="0.25">
      <c r="A62" s="1">
        <v>45776</v>
      </c>
      <c r="B62" t="s">
        <v>68</v>
      </c>
      <c r="C62">
        <v>14.6</v>
      </c>
      <c r="D62">
        <v>30.7</v>
      </c>
    </row>
    <row r="63" spans="1:4" x14ac:dyDescent="0.25">
      <c r="A63" s="1">
        <v>45776</v>
      </c>
      <c r="B63" t="s">
        <v>69</v>
      </c>
      <c r="C63">
        <v>14</v>
      </c>
      <c r="D63">
        <v>30.8</v>
      </c>
    </row>
    <row r="64" spans="1:4" x14ac:dyDescent="0.25">
      <c r="A64" s="1">
        <v>45776</v>
      </c>
      <c r="B64" t="s">
        <v>70</v>
      </c>
      <c r="C64">
        <v>13.4</v>
      </c>
      <c r="D64">
        <v>31</v>
      </c>
    </row>
    <row r="65" spans="1:4" x14ac:dyDescent="0.25">
      <c r="A65" s="1">
        <v>45776</v>
      </c>
      <c r="B65" t="s">
        <v>71</v>
      </c>
      <c r="C65">
        <v>12.8</v>
      </c>
      <c r="D65">
        <v>31.2</v>
      </c>
    </row>
    <row r="66" spans="1:4" x14ac:dyDescent="0.25">
      <c r="A66" s="1">
        <v>45776</v>
      </c>
      <c r="B66" t="s">
        <v>72</v>
      </c>
      <c r="C66">
        <v>12.2</v>
      </c>
      <c r="D66">
        <v>31.4</v>
      </c>
    </row>
    <row r="67" spans="1:4" x14ac:dyDescent="0.25">
      <c r="A67" s="1">
        <v>45776</v>
      </c>
      <c r="B67" t="s">
        <v>73</v>
      </c>
      <c r="C67">
        <v>11.7</v>
      </c>
      <c r="D67">
        <v>31.5</v>
      </c>
    </row>
    <row r="68" spans="1:4" x14ac:dyDescent="0.25">
      <c r="A68" s="1">
        <v>45776</v>
      </c>
      <c r="B68" t="s">
        <v>74</v>
      </c>
      <c r="C68">
        <v>11.2</v>
      </c>
      <c r="D68">
        <v>31.7</v>
      </c>
    </row>
    <row r="69" spans="1:4" x14ac:dyDescent="0.25">
      <c r="A69" s="1">
        <v>45776</v>
      </c>
      <c r="B69" t="s">
        <v>75</v>
      </c>
      <c r="C69">
        <v>10.7</v>
      </c>
      <c r="D69">
        <v>31.8</v>
      </c>
    </row>
    <row r="70" spans="1:4" x14ac:dyDescent="0.25">
      <c r="A70" s="1">
        <v>45776</v>
      </c>
      <c r="B70" t="s">
        <v>76</v>
      </c>
      <c r="C70">
        <v>10.3</v>
      </c>
      <c r="D70">
        <v>31.9</v>
      </c>
    </row>
    <row r="71" spans="1:4" x14ac:dyDescent="0.25">
      <c r="A71" s="1">
        <v>45776</v>
      </c>
      <c r="B71" t="s">
        <v>77</v>
      </c>
      <c r="C71">
        <v>9.8000000000000007</v>
      </c>
      <c r="D71">
        <v>32</v>
      </c>
    </row>
    <row r="72" spans="1:4" x14ac:dyDescent="0.25">
      <c r="A72" s="1">
        <v>45776</v>
      </c>
      <c r="B72" t="s">
        <v>78</v>
      </c>
      <c r="C72">
        <v>9.3000000000000007</v>
      </c>
      <c r="D72">
        <v>32.1</v>
      </c>
    </row>
    <row r="73" spans="1:4" x14ac:dyDescent="0.25">
      <c r="A73" s="1">
        <v>45776</v>
      </c>
      <c r="B73" t="s">
        <v>79</v>
      </c>
      <c r="C73">
        <v>8.9</v>
      </c>
      <c r="D73">
        <v>32.299999999999997</v>
      </c>
    </row>
    <row r="74" spans="1:4" x14ac:dyDescent="0.25">
      <c r="A74" s="1">
        <v>45776</v>
      </c>
      <c r="B74" t="s">
        <v>80</v>
      </c>
      <c r="C74">
        <v>8.5</v>
      </c>
      <c r="D74">
        <v>32.4</v>
      </c>
    </row>
    <row r="75" spans="1:4" x14ac:dyDescent="0.25">
      <c r="A75" s="1">
        <v>45776</v>
      </c>
      <c r="B75" t="s">
        <v>81</v>
      </c>
      <c r="C75">
        <v>8.1</v>
      </c>
      <c r="D75">
        <v>32.5</v>
      </c>
    </row>
    <row r="76" spans="1:4" x14ac:dyDescent="0.25">
      <c r="A76" s="1">
        <v>45776</v>
      </c>
      <c r="B76" t="s">
        <v>82</v>
      </c>
      <c r="C76">
        <v>7.7</v>
      </c>
      <c r="D76">
        <v>32.6</v>
      </c>
    </row>
    <row r="77" spans="1:4" x14ac:dyDescent="0.25">
      <c r="A77" s="1">
        <v>45776</v>
      </c>
      <c r="B77" t="s">
        <v>83</v>
      </c>
      <c r="C77">
        <v>7.3</v>
      </c>
      <c r="D77">
        <v>32.700000000000003</v>
      </c>
    </row>
    <row r="78" spans="1:4" x14ac:dyDescent="0.25">
      <c r="A78" s="1">
        <v>45776</v>
      </c>
      <c r="B78" t="s">
        <v>84</v>
      </c>
      <c r="C78">
        <v>7</v>
      </c>
      <c r="D78">
        <v>32.700000000000003</v>
      </c>
    </row>
    <row r="79" spans="1:4" x14ac:dyDescent="0.25">
      <c r="A79" s="1">
        <v>45776</v>
      </c>
      <c r="B79" t="s">
        <v>85</v>
      </c>
      <c r="C79">
        <v>6.6</v>
      </c>
      <c r="D79">
        <v>32.799999999999997</v>
      </c>
    </row>
    <row r="80" spans="1:4" x14ac:dyDescent="0.25">
      <c r="A80" s="1">
        <v>45776</v>
      </c>
      <c r="B80" t="s">
        <v>86</v>
      </c>
      <c r="C80">
        <v>6.3</v>
      </c>
      <c r="D80">
        <v>32.9</v>
      </c>
    </row>
    <row r="81" spans="1:4" x14ac:dyDescent="0.25">
      <c r="A81" s="1">
        <v>45776</v>
      </c>
      <c r="B81" t="s">
        <v>87</v>
      </c>
      <c r="C81">
        <v>5.9</v>
      </c>
      <c r="D81">
        <v>33</v>
      </c>
    </row>
    <row r="82" spans="1:4" x14ac:dyDescent="0.25">
      <c r="A82" s="1">
        <v>45776</v>
      </c>
      <c r="B82" t="s">
        <v>88</v>
      </c>
      <c r="C82">
        <v>5.6</v>
      </c>
      <c r="D82">
        <v>33.1</v>
      </c>
    </row>
    <row r="83" spans="1:4" x14ac:dyDescent="0.25">
      <c r="A83" s="1">
        <v>45776</v>
      </c>
      <c r="B83" t="s">
        <v>89</v>
      </c>
      <c r="C83">
        <v>5.3</v>
      </c>
      <c r="D83">
        <v>33.200000000000003</v>
      </c>
    </row>
    <row r="84" spans="1:4" x14ac:dyDescent="0.25">
      <c r="A84" s="1">
        <v>45776</v>
      </c>
      <c r="B84" t="s">
        <v>90</v>
      </c>
      <c r="C84">
        <v>5</v>
      </c>
      <c r="D84">
        <v>33.299999999999997</v>
      </c>
    </row>
    <row r="85" spans="1:4" x14ac:dyDescent="0.25">
      <c r="A85" s="1">
        <v>45776</v>
      </c>
      <c r="B85" t="s">
        <v>91</v>
      </c>
      <c r="C85">
        <v>4.7</v>
      </c>
      <c r="D85">
        <v>33.4</v>
      </c>
    </row>
    <row r="86" spans="1:4" x14ac:dyDescent="0.25">
      <c r="A86" s="1">
        <v>45776</v>
      </c>
      <c r="B86" t="s">
        <v>92</v>
      </c>
      <c r="C86">
        <v>4.4000000000000004</v>
      </c>
      <c r="D86">
        <v>33.5</v>
      </c>
    </row>
    <row r="87" spans="1:4" x14ac:dyDescent="0.25">
      <c r="A87" s="1">
        <v>45776</v>
      </c>
      <c r="B87" t="s">
        <v>93</v>
      </c>
      <c r="C87">
        <v>4.0999999999999996</v>
      </c>
      <c r="D87">
        <v>33.6</v>
      </c>
    </row>
    <row r="88" spans="1:4" x14ac:dyDescent="0.25">
      <c r="A88" s="1">
        <v>45776</v>
      </c>
      <c r="B88" t="s">
        <v>94</v>
      </c>
      <c r="C88">
        <v>3.8</v>
      </c>
      <c r="D88">
        <v>33.700000000000003</v>
      </c>
    </row>
    <row r="89" spans="1:4" x14ac:dyDescent="0.25">
      <c r="A89" s="1">
        <v>45776</v>
      </c>
      <c r="B89" t="s">
        <v>95</v>
      </c>
      <c r="C89">
        <v>3.6</v>
      </c>
      <c r="D89">
        <v>33.799999999999997</v>
      </c>
    </row>
    <row r="90" spans="1:4" x14ac:dyDescent="0.25">
      <c r="A90" s="1">
        <v>45776</v>
      </c>
      <c r="B90" t="s">
        <v>96</v>
      </c>
      <c r="C90">
        <v>3.3</v>
      </c>
      <c r="D90">
        <v>33.9</v>
      </c>
    </row>
    <row r="91" spans="1:4" x14ac:dyDescent="0.25">
      <c r="A91" s="1">
        <v>45776</v>
      </c>
      <c r="B91" t="s">
        <v>97</v>
      </c>
      <c r="C91">
        <v>3</v>
      </c>
      <c r="D91">
        <v>33.9</v>
      </c>
    </row>
    <row r="92" spans="1:4" x14ac:dyDescent="0.25">
      <c r="A92" s="1">
        <v>45776</v>
      </c>
      <c r="B92" t="s">
        <v>98</v>
      </c>
      <c r="C92">
        <v>2.8</v>
      </c>
      <c r="D92">
        <v>34</v>
      </c>
    </row>
    <row r="93" spans="1:4" x14ac:dyDescent="0.25">
      <c r="A93" s="1">
        <v>45776</v>
      </c>
      <c r="B93" t="s">
        <v>99</v>
      </c>
      <c r="C93">
        <v>2.5</v>
      </c>
      <c r="D93">
        <v>33.9</v>
      </c>
    </row>
    <row r="94" spans="1:4" x14ac:dyDescent="0.25">
      <c r="A94" s="1">
        <v>45776</v>
      </c>
      <c r="B94" t="s">
        <v>100</v>
      </c>
      <c r="C94">
        <v>2.2999999999999998</v>
      </c>
      <c r="D94">
        <v>34</v>
      </c>
    </row>
    <row r="95" spans="1:4" x14ac:dyDescent="0.25">
      <c r="A95" s="1">
        <v>45776</v>
      </c>
      <c r="B95" t="s">
        <v>101</v>
      </c>
      <c r="C95">
        <v>2.2000000000000002</v>
      </c>
      <c r="D95">
        <v>34.200000000000003</v>
      </c>
    </row>
    <row r="96" spans="1:4" x14ac:dyDescent="0.25">
      <c r="A96" s="1">
        <v>45776</v>
      </c>
      <c r="B96" t="s">
        <v>102</v>
      </c>
      <c r="C96">
        <v>2.2000000000000002</v>
      </c>
      <c r="D96">
        <v>34.6</v>
      </c>
    </row>
    <row r="97" spans="1:4" x14ac:dyDescent="0.25">
      <c r="A97" s="1">
        <v>45776</v>
      </c>
      <c r="B97" t="s">
        <v>103</v>
      </c>
      <c r="C97">
        <v>2.2999999999999998</v>
      </c>
      <c r="D97">
        <v>34.799999999999997</v>
      </c>
    </row>
    <row r="98" spans="1:4" x14ac:dyDescent="0.25">
      <c r="A98" s="1">
        <v>45776</v>
      </c>
      <c r="B98" t="s">
        <v>104</v>
      </c>
      <c r="C98">
        <v>2.2999999999999998</v>
      </c>
      <c r="D98">
        <v>35</v>
      </c>
    </row>
    <row r="99" spans="1:4" x14ac:dyDescent="0.25">
      <c r="A99" s="1">
        <v>45776</v>
      </c>
      <c r="B99" t="s">
        <v>105</v>
      </c>
      <c r="C99">
        <v>2.5</v>
      </c>
      <c r="D99">
        <v>35.200000000000003</v>
      </c>
    </row>
    <row r="100" spans="1:4" x14ac:dyDescent="0.25">
      <c r="A100" s="1">
        <v>45776</v>
      </c>
      <c r="B100" t="s">
        <v>106</v>
      </c>
      <c r="C100">
        <v>2.6</v>
      </c>
      <c r="D100">
        <v>35.200000000000003</v>
      </c>
    </row>
    <row r="101" spans="1:4" x14ac:dyDescent="0.25">
      <c r="A101" s="1">
        <v>45776</v>
      </c>
      <c r="B101" t="s">
        <v>107</v>
      </c>
      <c r="C101">
        <v>2.9</v>
      </c>
      <c r="D101">
        <v>39</v>
      </c>
    </row>
    <row r="102" spans="1:4" x14ac:dyDescent="0.25">
      <c r="A102" s="1">
        <v>45776</v>
      </c>
      <c r="B102" t="s">
        <v>108</v>
      </c>
      <c r="C102">
        <v>3.4</v>
      </c>
      <c r="D102">
        <v>49.2</v>
      </c>
    </row>
    <row r="103" spans="1:4" x14ac:dyDescent="0.25">
      <c r="A103" s="1">
        <v>45776</v>
      </c>
      <c r="B103" t="s">
        <v>109</v>
      </c>
      <c r="C103">
        <v>4.3</v>
      </c>
      <c r="D103">
        <v>59.1</v>
      </c>
    </row>
    <row r="104" spans="1:4" x14ac:dyDescent="0.25">
      <c r="A104" s="1">
        <v>45776</v>
      </c>
      <c r="B104" t="s">
        <v>110</v>
      </c>
      <c r="C104">
        <v>5.6</v>
      </c>
      <c r="D104">
        <v>64.7</v>
      </c>
    </row>
    <row r="105" spans="1:4" x14ac:dyDescent="0.25">
      <c r="A105" s="1">
        <v>45776</v>
      </c>
      <c r="B105" t="s">
        <v>111</v>
      </c>
      <c r="C105">
        <v>6.8</v>
      </c>
      <c r="D105">
        <v>66.099999999999994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E250-B72A-493B-AA88-4AA150A51BE2}">
  <dimension ref="A1:S61"/>
  <sheetViews>
    <sheetView tabSelected="1" topLeftCell="A40" zoomScale="84" zoomScaleNormal="84" workbookViewId="0">
      <selection activeCell="A45" sqref="A45:C61"/>
    </sheetView>
  </sheetViews>
  <sheetFormatPr baseColWidth="10" defaultRowHeight="15" x14ac:dyDescent="0.25"/>
  <cols>
    <col min="6" max="6" width="21.28515625" bestFit="1" customWidth="1"/>
    <col min="8" max="8" width="25.85546875" customWidth="1"/>
  </cols>
  <sheetData>
    <row r="1" spans="1:19" x14ac:dyDescent="0.25">
      <c r="A1" t="s">
        <v>117</v>
      </c>
      <c r="B1" t="s">
        <v>41</v>
      </c>
      <c r="C1" t="s">
        <v>112</v>
      </c>
      <c r="D1" t="s">
        <v>124</v>
      </c>
      <c r="E1" t="s">
        <v>127</v>
      </c>
      <c r="H1" t="s">
        <v>114</v>
      </c>
      <c r="I1" t="s">
        <v>118</v>
      </c>
    </row>
    <row r="2" spans="1:19" x14ac:dyDescent="0.25">
      <c r="A2">
        <v>0</v>
      </c>
      <c r="B2" t="s">
        <v>50</v>
      </c>
      <c r="C2">
        <v>27.4</v>
      </c>
      <c r="D2">
        <f>$S$4 + ($S$3-$S$4)*EXP(-$M$17*A2)</f>
        <v>27.4</v>
      </c>
      <c r="E2">
        <f>(C2-D2)^2</f>
        <v>0</v>
      </c>
      <c r="F2">
        <f t="shared" ref="F2:F18" si="0">ABS(C2-D2)</f>
        <v>0</v>
      </c>
    </row>
    <row r="3" spans="1:19" x14ac:dyDescent="0.25">
      <c r="A3">
        <v>0.5</v>
      </c>
      <c r="B3" t="s">
        <v>51</v>
      </c>
      <c r="C3">
        <v>27.3</v>
      </c>
      <c r="D3">
        <f t="shared" ref="D3:D44" si="1">$S$4 + ($S$3-$S$4)*EXP(-$M$17*A3)</f>
        <v>26.287178385666891</v>
      </c>
      <c r="E3">
        <f>(C3-D3)^2</f>
        <v>1.0258076224603259</v>
      </c>
      <c r="F3">
        <f t="shared" si="0"/>
        <v>1.0128216143331095</v>
      </c>
      <c r="H3">
        <f t="shared" ref="H3:H34" si="2">(1/(A3-A2))*(LN((C2-$S$4)/(C3-$S$4)))</f>
        <v>8.5653235840014563E-3</v>
      </c>
      <c r="P3" t="s">
        <v>113</v>
      </c>
      <c r="S3">
        <v>27.4</v>
      </c>
    </row>
    <row r="4" spans="1:19" x14ac:dyDescent="0.25">
      <c r="A4">
        <v>1</v>
      </c>
      <c r="B4" t="s">
        <v>52</v>
      </c>
      <c r="C4">
        <v>27.1</v>
      </c>
      <c r="D4">
        <f t="shared" si="1"/>
        <v>25.227278649339208</v>
      </c>
      <c r="E4">
        <f>(C4-D4)^2</f>
        <v>3.5070852572207856</v>
      </c>
      <c r="F4">
        <f t="shared" si="0"/>
        <v>1.8727213506607931</v>
      </c>
      <c r="H4">
        <f t="shared" si="2"/>
        <v>1.7241486087813909E-2</v>
      </c>
      <c r="P4" t="s">
        <v>115</v>
      </c>
      <c r="S4">
        <v>4</v>
      </c>
    </row>
    <row r="5" spans="1:19" x14ac:dyDescent="0.25">
      <c r="A5">
        <v>1.5</v>
      </c>
      <c r="B5" t="s">
        <v>53</v>
      </c>
      <c r="C5">
        <v>26.7</v>
      </c>
      <c r="D5">
        <f t="shared" si="1"/>
        <v>24.21778401282398</v>
      </c>
      <c r="E5" s="2">
        <f t="shared" ref="E4:E44" si="3">(C5-D5)^2</f>
        <v>6.1613962069922197</v>
      </c>
      <c r="F5">
        <f t="shared" si="0"/>
        <v>2.4822159871760192</v>
      </c>
      <c r="H5">
        <f t="shared" si="2"/>
        <v>3.4935386080781998E-2</v>
      </c>
      <c r="I5" s="2">
        <f t="shared" ref="I5:I45" si="4">ABS(C5-C4)</f>
        <v>0.40000000000000213</v>
      </c>
    </row>
    <row r="6" spans="1:19" x14ac:dyDescent="0.25">
      <c r="A6">
        <v>2</v>
      </c>
      <c r="B6" t="s">
        <v>54</v>
      </c>
      <c r="C6">
        <v>26.1</v>
      </c>
      <c r="D6">
        <f t="shared" si="1"/>
        <v>23.256297387038131</v>
      </c>
      <c r="E6" s="2">
        <f t="shared" si="3"/>
        <v>8.0866445509661684</v>
      </c>
      <c r="F6">
        <f t="shared" si="0"/>
        <v>2.8437026129618701</v>
      </c>
      <c r="H6">
        <f t="shared" si="2"/>
        <v>5.3574631927299526E-2</v>
      </c>
      <c r="I6" s="2">
        <f t="shared" si="4"/>
        <v>0.59999999999999787</v>
      </c>
      <c r="K6" t="s">
        <v>129</v>
      </c>
    </row>
    <row r="7" spans="1:19" x14ac:dyDescent="0.25">
      <c r="A7">
        <v>2.5</v>
      </c>
      <c r="B7" t="s">
        <v>55</v>
      </c>
      <c r="C7">
        <v>25.3</v>
      </c>
      <c r="D7">
        <f t="shared" si="1"/>
        <v>22.340535680015815</v>
      </c>
      <c r="E7" s="2">
        <f t="shared" si="3"/>
        <v>8.7584290612594575</v>
      </c>
      <c r="F7">
        <f t="shared" si="0"/>
        <v>2.9594643199841855</v>
      </c>
      <c r="H7">
        <f t="shared" si="2"/>
        <v>7.3741071616655593E-2</v>
      </c>
      <c r="I7" s="2">
        <f t="shared" si="4"/>
        <v>0.80000000000000071</v>
      </c>
      <c r="P7" t="s">
        <v>116</v>
      </c>
    </row>
    <row r="8" spans="1:19" x14ac:dyDescent="0.25">
      <c r="A8">
        <v>3</v>
      </c>
      <c r="B8" t="s">
        <v>56</v>
      </c>
      <c r="C8">
        <v>24.5</v>
      </c>
      <c r="D8">
        <f t="shared" si="1"/>
        <v>21.46832437560688</v>
      </c>
      <c r="E8" s="2">
        <f t="shared" si="3"/>
        <v>9.191057091539415</v>
      </c>
      <c r="F8">
        <f t="shared" si="0"/>
        <v>3.0316756243931202</v>
      </c>
      <c r="H8">
        <f t="shared" si="2"/>
        <v>7.6564373142033931E-2</v>
      </c>
      <c r="I8" s="2">
        <f t="shared" si="4"/>
        <v>0.80000000000000071</v>
      </c>
    </row>
    <row r="9" spans="1:19" x14ac:dyDescent="0.25">
      <c r="A9">
        <v>3.5</v>
      </c>
      <c r="B9" t="s">
        <v>57</v>
      </c>
      <c r="C9">
        <v>23.6</v>
      </c>
      <c r="D9">
        <f t="shared" si="1"/>
        <v>20.637592369993325</v>
      </c>
      <c r="E9" s="2">
        <f t="shared" si="3"/>
        <v>8.7758589663217759</v>
      </c>
      <c r="F9">
        <f t="shared" si="0"/>
        <v>2.9624076300066768</v>
      </c>
      <c r="H9">
        <f t="shared" si="2"/>
        <v>8.9790639815781892E-2</v>
      </c>
      <c r="I9" s="2">
        <f t="shared" si="4"/>
        <v>0.89999999999999858</v>
      </c>
    </row>
    <row r="10" spans="1:19" x14ac:dyDescent="0.25">
      <c r="A10">
        <v>4</v>
      </c>
      <c r="B10" t="s">
        <v>58</v>
      </c>
      <c r="C10">
        <v>22.6</v>
      </c>
      <c r="D10">
        <f t="shared" si="1"/>
        <v>19.84636705376289</v>
      </c>
      <c r="E10" s="2">
        <f t="shared" si="3"/>
        <v>7.5824944026024745</v>
      </c>
      <c r="F10">
        <f t="shared" si="0"/>
        <v>2.7536329462371114</v>
      </c>
      <c r="H10">
        <f t="shared" si="2"/>
        <v>0.10473597103463188</v>
      </c>
      <c r="I10" s="2">
        <f t="shared" si="4"/>
        <v>1</v>
      </c>
      <c r="P10" t="s">
        <v>119</v>
      </c>
    </row>
    <row r="11" spans="1:19" x14ac:dyDescent="0.25">
      <c r="A11">
        <v>4.5</v>
      </c>
      <c r="B11" t="s">
        <v>59</v>
      </c>
      <c r="C11">
        <v>21.7</v>
      </c>
      <c r="D11">
        <f t="shared" si="1"/>
        <v>19.092769627861891</v>
      </c>
      <c r="E11" s="2">
        <f t="shared" si="3"/>
        <v>6.7976502133994181</v>
      </c>
      <c r="F11">
        <f t="shared" si="0"/>
        <v>2.6072303721381083</v>
      </c>
      <c r="H11">
        <f t="shared" si="2"/>
        <v>9.9193882278744372E-2</v>
      </c>
      <c r="I11" s="2">
        <f t="shared" si="4"/>
        <v>0.90000000000000213</v>
      </c>
    </row>
    <row r="12" spans="1:19" x14ac:dyDescent="0.25">
      <c r="A12">
        <v>5</v>
      </c>
      <c r="B12" t="s">
        <v>60</v>
      </c>
      <c r="C12">
        <v>20.8</v>
      </c>
      <c r="D12">
        <f t="shared" si="1"/>
        <v>18.375010642304844</v>
      </c>
      <c r="E12" s="2">
        <f t="shared" si="3"/>
        <v>5.8805733849347703</v>
      </c>
      <c r="F12">
        <f t="shared" si="0"/>
        <v>2.4249893576951571</v>
      </c>
      <c r="H12">
        <f t="shared" si="2"/>
        <v>0.10437150634114008</v>
      </c>
      <c r="I12" s="2">
        <f t="shared" si="4"/>
        <v>0.89999999999999858</v>
      </c>
    </row>
    <row r="13" spans="1:19" x14ac:dyDescent="0.25">
      <c r="A13">
        <v>5.5</v>
      </c>
      <c r="B13" t="s">
        <v>61</v>
      </c>
      <c r="C13">
        <v>19.899999999999999</v>
      </c>
      <c r="D13">
        <f t="shared" si="1"/>
        <v>17.691385747047349</v>
      </c>
      <c r="E13">
        <f t="shared" si="3"/>
        <v>4.877976918345591</v>
      </c>
      <c r="F13">
        <f t="shared" si="0"/>
        <v>2.2086142529526498</v>
      </c>
      <c r="H13">
        <f t="shared" si="2"/>
        <v>0.11011955436605519</v>
      </c>
      <c r="I13" s="2">
        <f t="shared" si="4"/>
        <v>0.90000000000000213</v>
      </c>
      <c r="P13" t="s">
        <v>121</v>
      </c>
      <c r="Q13">
        <f>AVERAGE(I5:I44)</f>
        <v>0.56750000000000012</v>
      </c>
    </row>
    <row r="14" spans="1:19" x14ac:dyDescent="0.25">
      <c r="A14">
        <v>6</v>
      </c>
      <c r="B14" t="s">
        <v>62</v>
      </c>
      <c r="C14">
        <v>19.100000000000001</v>
      </c>
      <c r="D14">
        <f t="shared" si="1"/>
        <v>17.040271644932542</v>
      </c>
      <c r="E14">
        <f t="shared" si="3"/>
        <v>4.2424808966689032</v>
      </c>
      <c r="F14">
        <f t="shared" si="0"/>
        <v>2.0597283550674597</v>
      </c>
      <c r="G14" s="2">
        <f>AVERAGE(H4:H44)</f>
        <v>0.1982801996315029</v>
      </c>
      <c r="H14">
        <f t="shared" si="2"/>
        <v>0.10324873081061406</v>
      </c>
      <c r="I14" s="2">
        <f t="shared" si="4"/>
        <v>0.79999999999999716</v>
      </c>
      <c r="P14" t="s">
        <v>120</v>
      </c>
      <c r="Q14" s="2">
        <f>AVERAGE(H8:H43)</f>
        <v>0.18974344536967286</v>
      </c>
    </row>
    <row r="15" spans="1:19" x14ac:dyDescent="0.25">
      <c r="A15">
        <v>6.5</v>
      </c>
      <c r="B15" t="s">
        <v>63</v>
      </c>
      <c r="C15">
        <v>18.2</v>
      </c>
      <c r="D15">
        <f t="shared" si="1"/>
        <v>16.420122237101083</v>
      </c>
      <c r="E15">
        <f t="shared" si="3"/>
        <v>3.1679648508620515</v>
      </c>
      <c r="F15">
        <f t="shared" si="0"/>
        <v>1.7798777628989164</v>
      </c>
      <c r="H15">
        <f t="shared" si="2"/>
        <v>0.12290555842732745</v>
      </c>
      <c r="I15" s="2">
        <f t="shared" si="4"/>
        <v>0.90000000000000213</v>
      </c>
      <c r="P15" t="s">
        <v>125</v>
      </c>
      <c r="Q15">
        <v>0.09</v>
      </c>
    </row>
    <row r="16" spans="1:19" x14ac:dyDescent="0.25">
      <c r="A16">
        <v>7</v>
      </c>
      <c r="B16" t="s">
        <v>64</v>
      </c>
      <c r="C16">
        <v>17.399999999999999</v>
      </c>
      <c r="D16">
        <f t="shared" si="1"/>
        <v>15.829464951711968</v>
      </c>
      <c r="E16">
        <f t="shared" si="3"/>
        <v>2.4665803379010875</v>
      </c>
      <c r="F16">
        <f t="shared" si="0"/>
        <v>1.5705350482880309</v>
      </c>
      <c r="H16">
        <f t="shared" si="2"/>
        <v>0.11597451530069863</v>
      </c>
      <c r="I16" s="2">
        <f t="shared" si="4"/>
        <v>0.80000000000000071</v>
      </c>
    </row>
    <row r="17" spans="1:17" x14ac:dyDescent="0.25">
      <c r="A17">
        <v>7.5</v>
      </c>
      <c r="B17" t="s">
        <v>65</v>
      </c>
      <c r="C17">
        <v>16.7</v>
      </c>
      <c r="D17">
        <f t="shared" si="1"/>
        <v>15.26689724725637</v>
      </c>
      <c r="E17">
        <f t="shared" si="3"/>
        <v>2.0537834999213671</v>
      </c>
      <c r="F17">
        <f t="shared" si="0"/>
        <v>1.4331027527436291</v>
      </c>
      <c r="H17">
        <f t="shared" si="2"/>
        <v>0.10730542698464</v>
      </c>
      <c r="I17" s="2">
        <f t="shared" si="4"/>
        <v>0.69999999999999929</v>
      </c>
      <c r="L17" s="3" t="s">
        <v>128</v>
      </c>
      <c r="M17" s="3">
        <v>9.7448939069253157E-2</v>
      </c>
    </row>
    <row r="18" spans="1:17" x14ac:dyDescent="0.25">
      <c r="A18">
        <v>8</v>
      </c>
      <c r="B18" t="s">
        <v>66</v>
      </c>
      <c r="C18">
        <v>16</v>
      </c>
      <c r="D18">
        <f t="shared" si="1"/>
        <v>14.731083282161622</v>
      </c>
      <c r="E18">
        <f t="shared" si="3"/>
        <v>1.6101496368097219</v>
      </c>
      <c r="F18">
        <f t="shared" si="0"/>
        <v>1.268916717838378</v>
      </c>
      <c r="H18">
        <f t="shared" si="2"/>
        <v>0.11339068735309059</v>
      </c>
      <c r="I18" s="2">
        <f t="shared" si="4"/>
        <v>0.69999999999999929</v>
      </c>
    </row>
    <row r="19" spans="1:17" x14ac:dyDescent="0.25">
      <c r="A19">
        <v>8.5</v>
      </c>
      <c r="B19" t="s">
        <v>67</v>
      </c>
      <c r="C19">
        <v>15.3</v>
      </c>
      <c r="D19">
        <f t="shared" si="1"/>
        <v>14.220750742777089</v>
      </c>
      <c r="E19">
        <f t="shared" si="3"/>
        <v>1.1647789592162077</v>
      </c>
      <c r="F19">
        <f>ABS(C19-D19)</f>
        <v>1.0792492572229122</v>
      </c>
      <c r="H19">
        <f t="shared" si="2"/>
        <v>0.12020784813941061</v>
      </c>
      <c r="I19" s="2">
        <f t="shared" si="4"/>
        <v>0.69999999999999929</v>
      </c>
      <c r="P19" t="s">
        <v>122</v>
      </c>
    </row>
    <row r="20" spans="1:17" x14ac:dyDescent="0.25">
      <c r="A20">
        <v>9</v>
      </c>
      <c r="B20" t="s">
        <v>68</v>
      </c>
      <c r="C20">
        <v>14.6</v>
      </c>
      <c r="D20">
        <f t="shared" si="1"/>
        <v>13.734687822209844</v>
      </c>
      <c r="E20">
        <f t="shared" si="3"/>
        <v>0.74876516503194146</v>
      </c>
      <c r="F20">
        <f t="shared" ref="F20:F43" si="5">ABS(C20-D20)</f>
        <v>0.86531217779015535</v>
      </c>
      <c r="H20">
        <f t="shared" si="2"/>
        <v>0.12789744920054702</v>
      </c>
      <c r="I20" s="2">
        <f t="shared" si="4"/>
        <v>0.70000000000000107</v>
      </c>
      <c r="L20" t="s">
        <v>130</v>
      </c>
    </row>
    <row r="21" spans="1:17" x14ac:dyDescent="0.25">
      <c r="A21">
        <v>9.5</v>
      </c>
      <c r="B21" t="s">
        <v>69</v>
      </c>
      <c r="C21">
        <v>14</v>
      </c>
      <c r="D21">
        <f t="shared" si="1"/>
        <v>13.271740342836324</v>
      </c>
      <c r="E21">
        <f t="shared" si="3"/>
        <v>0.53036212825215479</v>
      </c>
      <c r="F21">
        <f t="shared" si="5"/>
        <v>0.72825965716367591</v>
      </c>
      <c r="H21">
        <f t="shared" si="2"/>
        <v>0.11653781624795165</v>
      </c>
      <c r="I21" s="2">
        <f t="shared" si="4"/>
        <v>0.59999999999999964</v>
      </c>
      <c r="L21" s="2">
        <v>0</v>
      </c>
      <c r="M21">
        <v>27.44</v>
      </c>
      <c r="N21">
        <f>$S$4 + ($S$3-$S$4)*EXP(-$M$17*L21)</f>
        <v>27.4</v>
      </c>
      <c r="P21" t="s">
        <v>123</v>
      </c>
      <c r="Q21">
        <f>S4+((S3-S4)*EXP(-Q15*2))</f>
        <v>23.545322947023763</v>
      </c>
    </row>
    <row r="22" spans="1:17" x14ac:dyDescent="0.25">
      <c r="A22">
        <v>10</v>
      </c>
      <c r="B22" t="s">
        <v>70</v>
      </c>
      <c r="C22">
        <v>13.4</v>
      </c>
      <c r="D22">
        <f t="shared" si="1"/>
        <v>12.830809015657156</v>
      </c>
      <c r="E22">
        <f t="shared" si="3"/>
        <v>0.32397837665717616</v>
      </c>
      <c r="F22">
        <f t="shared" si="5"/>
        <v>0.56919098434284443</v>
      </c>
      <c r="H22">
        <f t="shared" si="2"/>
        <v>0.12375080743617491</v>
      </c>
      <c r="I22" s="2">
        <f t="shared" si="4"/>
        <v>0.59999999999999964</v>
      </c>
      <c r="L22" s="2">
        <v>2</v>
      </c>
      <c r="N22">
        <f>$S$4 + ($S$3-$S$4)*EXP(-$M$17*L22)</f>
        <v>23.256297387038131</v>
      </c>
    </row>
    <row r="23" spans="1:17" x14ac:dyDescent="0.25">
      <c r="A23">
        <v>10.5</v>
      </c>
      <c r="B23" t="s">
        <v>71</v>
      </c>
      <c r="C23">
        <v>12.8</v>
      </c>
      <c r="D23">
        <f t="shared" si="1"/>
        <v>12.410846829987458</v>
      </c>
      <c r="E23">
        <f t="shared" si="3"/>
        <v>0.15144018973081122</v>
      </c>
      <c r="F23">
        <f t="shared" si="5"/>
        <v>0.38915317001254301</v>
      </c>
      <c r="H23">
        <f t="shared" si="2"/>
        <v>0.13191593558359474</v>
      </c>
      <c r="I23" s="2">
        <f t="shared" si="4"/>
        <v>0.59999999999999964</v>
      </c>
      <c r="L23" s="2">
        <v>5</v>
      </c>
      <c r="M23">
        <v>23.19</v>
      </c>
      <c r="N23">
        <f t="shared" ref="N23:N29" si="6">$S$4 + ($S$3-$S$4)*EXP(-$M$17*L23)</f>
        <v>18.375010642304844</v>
      </c>
    </row>
    <row r="24" spans="1:17" x14ac:dyDescent="0.25">
      <c r="A24">
        <v>11</v>
      </c>
      <c r="B24" t="s">
        <v>72</v>
      </c>
      <c r="C24">
        <v>12.2</v>
      </c>
      <c r="D24">
        <f t="shared" si="1"/>
        <v>12.010856567284245</v>
      </c>
      <c r="E24">
        <f t="shared" si="3"/>
        <v>3.5775238139499115E-2</v>
      </c>
      <c r="F24">
        <f t="shared" si="5"/>
        <v>0.1891434327157544</v>
      </c>
      <c r="H24">
        <f t="shared" si="2"/>
        <v>0.14123513442790725</v>
      </c>
      <c r="I24" s="2">
        <f t="shared" si="4"/>
        <v>0.60000000000000142</v>
      </c>
      <c r="L24" s="2">
        <v>7</v>
      </c>
      <c r="N24">
        <f t="shared" si="6"/>
        <v>15.829464951711968</v>
      </c>
    </row>
    <row r="25" spans="1:17" x14ac:dyDescent="0.25">
      <c r="A25">
        <v>11.5</v>
      </c>
      <c r="B25" t="s">
        <v>73</v>
      </c>
      <c r="C25">
        <v>11.7</v>
      </c>
      <c r="D25">
        <f t="shared" si="1"/>
        <v>11.629888433207485</v>
      </c>
      <c r="E25">
        <f t="shared" si="3"/>
        <v>4.9156317981011617E-3</v>
      </c>
      <c r="F25">
        <f t="shared" si="5"/>
        <v>7.0111566792514068E-2</v>
      </c>
      <c r="H25">
        <f t="shared" si="2"/>
        <v>0.12582765082113836</v>
      </c>
      <c r="I25" s="2">
        <f t="shared" si="4"/>
        <v>0.5</v>
      </c>
      <c r="L25" s="2">
        <v>10</v>
      </c>
      <c r="M25">
        <v>11</v>
      </c>
      <c r="N25">
        <f t="shared" si="6"/>
        <v>12.830809015657156</v>
      </c>
    </row>
    <row r="26" spans="1:17" x14ac:dyDescent="0.25">
      <c r="A26">
        <v>12</v>
      </c>
      <c r="B26" t="s">
        <v>74</v>
      </c>
      <c r="C26">
        <v>11.2</v>
      </c>
      <c r="D26">
        <f t="shared" si="1"/>
        <v>11.267037802291952</v>
      </c>
      <c r="E26">
        <f t="shared" si="3"/>
        <v>4.4940669361349635E-3</v>
      </c>
      <c r="F26">
        <f t="shared" si="5"/>
        <v>6.7037802291952886E-2</v>
      </c>
      <c r="H26">
        <f t="shared" si="2"/>
        <v>0.13427860567525704</v>
      </c>
      <c r="I26">
        <f t="shared" si="4"/>
        <v>0.5</v>
      </c>
      <c r="L26" s="2">
        <v>12</v>
      </c>
      <c r="N26">
        <f t="shared" si="6"/>
        <v>11.267037802291952</v>
      </c>
    </row>
    <row r="27" spans="1:17" x14ac:dyDescent="0.25">
      <c r="A27">
        <v>12.5</v>
      </c>
      <c r="B27" t="s">
        <v>75</v>
      </c>
      <c r="C27">
        <v>10.7</v>
      </c>
      <c r="D27">
        <f t="shared" si="1"/>
        <v>10.921443069874591</v>
      </c>
      <c r="E27">
        <f t="shared" si="3"/>
        <v>4.9037033195483512E-2</v>
      </c>
      <c r="F27">
        <f t="shared" si="5"/>
        <v>0.22144306987459217</v>
      </c>
      <c r="H27">
        <f t="shared" si="2"/>
        <v>0.14394699925017848</v>
      </c>
      <c r="I27">
        <f t="shared" si="4"/>
        <v>0.5</v>
      </c>
      <c r="L27" s="2">
        <v>15</v>
      </c>
      <c r="M27">
        <v>6.62</v>
      </c>
      <c r="N27">
        <f t="shared" si="6"/>
        <v>9.4249134008646642</v>
      </c>
    </row>
    <row r="28" spans="1:17" x14ac:dyDescent="0.25">
      <c r="A28">
        <v>13</v>
      </c>
      <c r="B28" t="s">
        <v>76</v>
      </c>
      <c r="C28">
        <v>10.3</v>
      </c>
      <c r="D28">
        <f t="shared" si="1"/>
        <v>10.59228360617662</v>
      </c>
      <c r="E28">
        <f t="shared" si="3"/>
        <v>8.5429706439609149E-2</v>
      </c>
      <c r="F28">
        <f t="shared" si="5"/>
        <v>0.29228360617661941</v>
      </c>
      <c r="H28">
        <f t="shared" si="2"/>
        <v>0.12311578599886631</v>
      </c>
      <c r="I28">
        <f t="shared" si="4"/>
        <v>0.39999999999999858</v>
      </c>
      <c r="L28" s="2">
        <v>17</v>
      </c>
      <c r="N28">
        <f t="shared" si="6"/>
        <v>8.4642626387170257</v>
      </c>
    </row>
    <row r="29" spans="1:17" x14ac:dyDescent="0.25">
      <c r="A29">
        <v>13.5</v>
      </c>
      <c r="B29" t="s">
        <v>77</v>
      </c>
      <c r="C29">
        <v>9.8000000000000007</v>
      </c>
      <c r="D29">
        <f t="shared" si="1"/>
        <v>10.278777807682296</v>
      </c>
      <c r="E29">
        <f t="shared" si="3"/>
        <v>0.22922818912906492</v>
      </c>
      <c r="F29">
        <f t="shared" si="5"/>
        <v>0.47877780768229528</v>
      </c>
      <c r="H29">
        <f t="shared" si="2"/>
        <v>0.16538343169022682</v>
      </c>
      <c r="I29">
        <f t="shared" si="4"/>
        <v>0.5</v>
      </c>
      <c r="L29" s="2">
        <v>20</v>
      </c>
      <c r="M29">
        <v>3.56</v>
      </c>
      <c r="N29">
        <f t="shared" si="6"/>
        <v>7.332614866282551</v>
      </c>
    </row>
    <row r="30" spans="1:17" x14ac:dyDescent="0.25">
      <c r="A30">
        <v>14</v>
      </c>
      <c r="B30" t="s">
        <v>78</v>
      </c>
      <c r="C30">
        <v>9.3000000000000007</v>
      </c>
      <c r="D30">
        <f t="shared" si="1"/>
        <v>9.9801812411872568</v>
      </c>
      <c r="E30">
        <f t="shared" si="3"/>
        <v>0.46264652086303626</v>
      </c>
      <c r="F30">
        <f t="shared" si="5"/>
        <v>0.68018124118725609</v>
      </c>
      <c r="H30">
        <f t="shared" si="2"/>
        <v>0.18030219398859496</v>
      </c>
      <c r="I30">
        <f t="shared" si="4"/>
        <v>0.5</v>
      </c>
    </row>
    <row r="31" spans="1:17" x14ac:dyDescent="0.25">
      <c r="A31">
        <v>14.5</v>
      </c>
      <c r="B31" t="s">
        <v>79</v>
      </c>
      <c r="C31">
        <v>8.9</v>
      </c>
      <c r="D31">
        <f t="shared" si="1"/>
        <v>9.6957848761093715</v>
      </c>
      <c r="E31">
        <f t="shared" si="3"/>
        <v>0.63327356904440713</v>
      </c>
      <c r="F31">
        <f t="shared" si="5"/>
        <v>0.7957848761093711</v>
      </c>
      <c r="H31">
        <f t="shared" si="2"/>
        <v>0.15694323088299061</v>
      </c>
      <c r="I31">
        <f t="shared" si="4"/>
        <v>0.40000000000000036</v>
      </c>
      <c r="J31" t="s">
        <v>126</v>
      </c>
      <c r="K31">
        <f>Q16</f>
        <v>0</v>
      </c>
    </row>
    <row r="32" spans="1:17" x14ac:dyDescent="0.25">
      <c r="A32">
        <v>15</v>
      </c>
      <c r="B32" t="s">
        <v>80</v>
      </c>
      <c r="C32">
        <v>8.5</v>
      </c>
      <c r="D32">
        <f t="shared" si="1"/>
        <v>9.4249134008646642</v>
      </c>
      <c r="E32">
        <f t="shared" si="3"/>
        <v>0.85546479909903905</v>
      </c>
      <c r="F32">
        <f t="shared" si="5"/>
        <v>0.92491340086466423</v>
      </c>
      <c r="H32">
        <f t="shared" si="2"/>
        <v>0.17031561668061393</v>
      </c>
      <c r="I32">
        <f t="shared" si="4"/>
        <v>0.40000000000000036</v>
      </c>
    </row>
    <row r="33" spans="1:9" x14ac:dyDescent="0.25">
      <c r="A33">
        <v>15.5</v>
      </c>
      <c r="B33" t="s">
        <v>81</v>
      </c>
      <c r="C33">
        <v>8.1</v>
      </c>
      <c r="D33">
        <f t="shared" si="1"/>
        <v>9.1669236193104986</v>
      </c>
      <c r="E33">
        <f t="shared" si="3"/>
        <v>1.1383260094426144</v>
      </c>
      <c r="F33">
        <f t="shared" si="5"/>
        <v>1.0669236193104989</v>
      </c>
      <c r="H33">
        <f t="shared" si="2"/>
        <v>0.18618084613202407</v>
      </c>
      <c r="I33">
        <f t="shared" si="4"/>
        <v>0.40000000000000036</v>
      </c>
    </row>
    <row r="34" spans="1:9" x14ac:dyDescent="0.25">
      <c r="A34">
        <v>16</v>
      </c>
      <c r="B34" t="s">
        <v>82</v>
      </c>
      <c r="C34">
        <v>7.7</v>
      </c>
      <c r="D34">
        <f t="shared" si="1"/>
        <v>8.9212029234482344</v>
      </c>
      <c r="E34">
        <f t="shared" si="3"/>
        <v>1.4913365802385139</v>
      </c>
      <c r="F34">
        <f t="shared" si="5"/>
        <v>1.2212029234482342</v>
      </c>
      <c r="H34">
        <f t="shared" si="2"/>
        <v>0.20530830812016632</v>
      </c>
      <c r="I34">
        <f t="shared" si="4"/>
        <v>0.39999999999999947</v>
      </c>
    </row>
    <row r="35" spans="1:9" x14ac:dyDescent="0.25">
      <c r="A35">
        <v>16.5</v>
      </c>
      <c r="B35" t="s">
        <v>83</v>
      </c>
      <c r="C35">
        <v>7.3</v>
      </c>
      <c r="D35">
        <f t="shared" si="1"/>
        <v>8.6871678387588123</v>
      </c>
      <c r="E35">
        <f t="shared" si="3"/>
        <v>1.9242346128867946</v>
      </c>
      <c r="F35">
        <f t="shared" si="5"/>
        <v>1.3871678387588124</v>
      </c>
      <c r="H35">
        <f t="shared" ref="H35:H59" si="7">(1/(A35-A34))*(LN((C34-$S$4)/(C35-$S$4)))</f>
        <v>0.22882070235548863</v>
      </c>
      <c r="I35">
        <f t="shared" si="4"/>
        <v>0.40000000000000036</v>
      </c>
    </row>
    <row r="36" spans="1:9" x14ac:dyDescent="0.25">
      <c r="A36">
        <v>17</v>
      </c>
      <c r="B36" t="s">
        <v>84</v>
      </c>
      <c r="C36">
        <v>7</v>
      </c>
      <c r="D36">
        <f t="shared" si="1"/>
        <v>8.4642626387170257</v>
      </c>
      <c r="E36">
        <f t="shared" si="3"/>
        <v>2.1440650751425467</v>
      </c>
      <c r="F36">
        <f t="shared" si="5"/>
        <v>1.4642626387170257</v>
      </c>
      <c r="H36">
        <f t="shared" si="7"/>
        <v>0.19062035960864948</v>
      </c>
      <c r="I36">
        <f t="shared" si="4"/>
        <v>0.29999999999999982</v>
      </c>
    </row>
    <row r="37" spans="1:9" x14ac:dyDescent="0.25">
      <c r="A37">
        <v>17.5</v>
      </c>
      <c r="B37" t="s">
        <v>85</v>
      </c>
      <c r="C37">
        <v>6.6</v>
      </c>
      <c r="D37">
        <f t="shared" si="1"/>
        <v>8.2519580251946287</v>
      </c>
      <c r="E37">
        <f t="shared" si="3"/>
        <v>2.7289653170049388</v>
      </c>
      <c r="F37">
        <f t="shared" si="5"/>
        <v>1.6519580251946291</v>
      </c>
      <c r="H37">
        <f t="shared" si="7"/>
        <v>0.28620168728134687</v>
      </c>
      <c r="I37">
        <f t="shared" si="4"/>
        <v>0.40000000000000036</v>
      </c>
    </row>
    <row r="38" spans="1:9" x14ac:dyDescent="0.25">
      <c r="A38">
        <v>18</v>
      </c>
      <c r="B38" t="s">
        <v>86</v>
      </c>
      <c r="C38">
        <v>6.3</v>
      </c>
      <c r="D38">
        <f t="shared" si="1"/>
        <v>8.0497498716188325</v>
      </c>
      <c r="E38">
        <f t="shared" si="3"/>
        <v>3.0616246132301215</v>
      </c>
      <c r="F38">
        <f t="shared" si="5"/>
        <v>1.7497498716188327</v>
      </c>
      <c r="H38">
        <f t="shared" si="7"/>
        <v>0.24520464418466456</v>
      </c>
      <c r="I38">
        <f t="shared" si="4"/>
        <v>0.29999999999999982</v>
      </c>
    </row>
    <row r="39" spans="1:9" x14ac:dyDescent="0.25">
      <c r="A39">
        <v>18.5</v>
      </c>
      <c r="B39" t="s">
        <v>87</v>
      </c>
      <c r="C39">
        <v>5.9</v>
      </c>
      <c r="D39">
        <f t="shared" si="1"/>
        <v>7.8571580259017306</v>
      </c>
      <c r="E39">
        <f t="shared" si="3"/>
        <v>3.8304675383515581</v>
      </c>
      <c r="F39">
        <f t="shared" si="5"/>
        <v>1.9571580259017303</v>
      </c>
      <c r="H39">
        <f t="shared" si="7"/>
        <v>0.38211047352541805</v>
      </c>
      <c r="I39">
        <f t="shared" si="4"/>
        <v>0.39999999999999947</v>
      </c>
    </row>
    <row r="40" spans="1:9" x14ac:dyDescent="0.25">
      <c r="A40">
        <v>19</v>
      </c>
      <c r="B40" t="s">
        <v>88</v>
      </c>
      <c r="C40">
        <v>5.6</v>
      </c>
      <c r="D40">
        <f t="shared" si="1"/>
        <v>7.6737251702982316</v>
      </c>
      <c r="E40">
        <f t="shared" si="3"/>
        <v>4.3003360819284318</v>
      </c>
      <c r="F40">
        <f t="shared" si="5"/>
        <v>2.073725170298232</v>
      </c>
      <c r="H40">
        <f t="shared" si="7"/>
        <v>0.34370051385331918</v>
      </c>
      <c r="I40">
        <f t="shared" si="4"/>
        <v>0.30000000000000071</v>
      </c>
    </row>
    <row r="41" spans="1:9" x14ac:dyDescent="0.25">
      <c r="A41">
        <v>19.5</v>
      </c>
      <c r="B41" t="s">
        <v>89</v>
      </c>
      <c r="C41">
        <v>5.3</v>
      </c>
      <c r="D41">
        <f t="shared" si="1"/>
        <v>7.4990157354850933</v>
      </c>
      <c r="E41" s="2">
        <f t="shared" si="3"/>
        <v>4.8356702049110467</v>
      </c>
      <c r="F41">
        <f t="shared" si="5"/>
        <v>2.1990157354850934</v>
      </c>
      <c r="H41">
        <f t="shared" si="7"/>
        <v>0.41527872955648876</v>
      </c>
      <c r="I41">
        <f t="shared" si="4"/>
        <v>0.29999999999999982</v>
      </c>
    </row>
    <row r="42" spans="1:9" x14ac:dyDescent="0.25">
      <c r="A42">
        <v>20</v>
      </c>
      <c r="B42" t="s">
        <v>90</v>
      </c>
      <c r="C42">
        <v>5</v>
      </c>
      <c r="D42">
        <f t="shared" si="1"/>
        <v>7.332614866282551</v>
      </c>
      <c r="E42" s="2">
        <f t="shared" si="3"/>
        <v>5.4410921144023634</v>
      </c>
      <c r="F42">
        <f t="shared" si="5"/>
        <v>2.332614866282551</v>
      </c>
      <c r="H42">
        <f t="shared" si="7"/>
        <v>0.52472852893498179</v>
      </c>
      <c r="I42">
        <f t="shared" si="4"/>
        <v>0.29999999999999982</v>
      </c>
    </row>
    <row r="43" spans="1:9" x14ac:dyDescent="0.25">
      <c r="A43">
        <v>20.5</v>
      </c>
      <c r="B43" t="s">
        <v>91</v>
      </c>
      <c r="C43">
        <v>4.7</v>
      </c>
      <c r="D43">
        <f t="shared" si="1"/>
        <v>7.1741274365625927</v>
      </c>
      <c r="E43" s="2">
        <f t="shared" si="3"/>
        <v>6.1213065723517852</v>
      </c>
      <c r="F43">
        <f t="shared" si="5"/>
        <v>2.4741274365625925</v>
      </c>
      <c r="H43">
        <f t="shared" si="7"/>
        <v>0.71334988787746423</v>
      </c>
      <c r="I43">
        <f t="shared" si="4"/>
        <v>0.29999999999999982</v>
      </c>
    </row>
    <row r="44" spans="1:9" x14ac:dyDescent="0.25">
      <c r="A44">
        <v>21</v>
      </c>
      <c r="B44" t="s">
        <v>92</v>
      </c>
      <c r="C44">
        <v>4.4000000000000004</v>
      </c>
      <c r="D44">
        <f t="shared" si="1"/>
        <v>7.0231771110047045</v>
      </c>
      <c r="E44" s="2">
        <f t="shared" si="3"/>
        <v>6.8810581556989865</v>
      </c>
      <c r="F44">
        <f>ABS(C44-D44)</f>
        <v>2.6231771110047042</v>
      </c>
      <c r="H44">
        <f t="shared" si="7"/>
        <v>1.1192315758708442</v>
      </c>
      <c r="I44">
        <f t="shared" si="4"/>
        <v>0.29999999999999982</v>
      </c>
    </row>
    <row r="45" spans="1:9" x14ac:dyDescent="0.25">
      <c r="A45" s="2">
        <v>21.5</v>
      </c>
      <c r="B45" s="2" t="s">
        <v>93</v>
      </c>
      <c r="C45" s="2">
        <v>4.0999999999999996</v>
      </c>
      <c r="F45">
        <f>SUM(E2:E4,E13:E40)</f>
        <v>48.850774421948017</v>
      </c>
      <c r="H45" s="2">
        <f>(1/(A45-A44))*(LN((C44-$S$4)/(C45-$S$4)))</f>
        <v>2.77258872223979</v>
      </c>
      <c r="I45" s="2">
        <f t="shared" si="4"/>
        <v>0.30000000000000071</v>
      </c>
    </row>
    <row r="46" spans="1:9" x14ac:dyDescent="0.25">
      <c r="A46" s="2">
        <v>22</v>
      </c>
      <c r="B46" s="2" t="s">
        <v>94</v>
      </c>
      <c r="C46" s="2">
        <v>3.8</v>
      </c>
      <c r="H46" s="2" t="e">
        <f t="shared" si="7"/>
        <v>#NUM!</v>
      </c>
      <c r="I46" s="2"/>
    </row>
    <row r="47" spans="1:9" x14ac:dyDescent="0.25">
      <c r="A47" s="2">
        <v>22.5</v>
      </c>
      <c r="B47" s="2" t="s">
        <v>95</v>
      </c>
      <c r="C47" s="2">
        <v>3.6</v>
      </c>
      <c r="F47">
        <f>SUM(F2:F44)</f>
        <v>64.823562018185299</v>
      </c>
      <c r="H47" s="2">
        <f t="shared" si="7"/>
        <v>-1.3862943611198884</v>
      </c>
      <c r="I47" s="2"/>
    </row>
    <row r="48" spans="1:9" x14ac:dyDescent="0.25">
      <c r="A48" s="2">
        <v>23</v>
      </c>
      <c r="B48" s="2" t="s">
        <v>96</v>
      </c>
      <c r="C48" s="2">
        <v>3.3</v>
      </c>
      <c r="E48">
        <f>SUM(E2:E44)</f>
        <v>133.36400534732789</v>
      </c>
      <c r="H48" s="2">
        <f t="shared" si="7"/>
        <v>-1.1192315758708462</v>
      </c>
      <c r="I48" s="2"/>
    </row>
    <row r="49" spans="1:9" x14ac:dyDescent="0.25">
      <c r="A49" s="2">
        <v>23.5</v>
      </c>
      <c r="B49" s="2" t="s">
        <v>97</v>
      </c>
      <c r="C49" s="2">
        <v>3</v>
      </c>
      <c r="H49" s="2">
        <f t="shared" si="7"/>
        <v>-0.71334988787746423</v>
      </c>
      <c r="I49" s="2"/>
    </row>
    <row r="50" spans="1:9" x14ac:dyDescent="0.25">
      <c r="A50" s="2">
        <v>24</v>
      </c>
      <c r="B50" s="2" t="s">
        <v>98</v>
      </c>
      <c r="C50" s="2">
        <v>2.8</v>
      </c>
      <c r="H50" s="2">
        <f t="shared" si="7"/>
        <v>-0.36464311358790941</v>
      </c>
      <c r="I50" s="2"/>
    </row>
    <row r="51" spans="1:9" x14ac:dyDescent="0.25">
      <c r="A51" s="2">
        <v>24.5</v>
      </c>
      <c r="B51" s="2" t="s">
        <v>99</v>
      </c>
      <c r="C51" s="2">
        <v>2.5</v>
      </c>
      <c r="H51" s="2">
        <f t="shared" si="7"/>
        <v>-0.44628710262841914</v>
      </c>
      <c r="I51" s="2"/>
    </row>
    <row r="52" spans="1:9" x14ac:dyDescent="0.25">
      <c r="A52" s="2">
        <v>25</v>
      </c>
      <c r="B52" s="2" t="s">
        <v>100</v>
      </c>
      <c r="C52" s="2">
        <v>2.2999999999999998</v>
      </c>
      <c r="H52" s="2">
        <f t="shared" si="7"/>
        <v>-0.25032628590801231</v>
      </c>
      <c r="I52" s="2"/>
    </row>
    <row r="53" spans="1:9" x14ac:dyDescent="0.25">
      <c r="A53" s="2">
        <v>25.5</v>
      </c>
      <c r="B53" s="2" t="s">
        <v>101</v>
      </c>
      <c r="C53" s="2">
        <v>2.2000000000000002</v>
      </c>
      <c r="H53" s="2">
        <f t="shared" si="7"/>
        <v>-0.1143168276798968</v>
      </c>
      <c r="I53" s="2"/>
    </row>
    <row r="54" spans="1:9" x14ac:dyDescent="0.25">
      <c r="A54" s="2">
        <v>26</v>
      </c>
      <c r="B54" s="2" t="s">
        <v>102</v>
      </c>
      <c r="C54" s="2">
        <v>2.2000000000000002</v>
      </c>
      <c r="H54" s="2">
        <f t="shared" si="7"/>
        <v>0</v>
      </c>
      <c r="I54" s="2"/>
    </row>
    <row r="55" spans="1:9" x14ac:dyDescent="0.25">
      <c r="A55" s="2">
        <v>26.5</v>
      </c>
      <c r="B55" s="2" t="s">
        <v>103</v>
      </c>
      <c r="C55" s="2">
        <v>2.2999999999999998</v>
      </c>
      <c r="H55" s="2">
        <f t="shared" si="7"/>
        <v>0.11431682767989683</v>
      </c>
      <c r="I55" s="2"/>
    </row>
    <row r="56" spans="1:9" x14ac:dyDescent="0.25">
      <c r="A56" s="2">
        <v>27</v>
      </c>
      <c r="B56" s="2" t="s">
        <v>104</v>
      </c>
      <c r="C56" s="2">
        <v>2.2999999999999998</v>
      </c>
      <c r="H56" s="2">
        <f t="shared" si="7"/>
        <v>0</v>
      </c>
      <c r="I56" s="2"/>
    </row>
    <row r="57" spans="1:9" x14ac:dyDescent="0.25">
      <c r="A57" s="2">
        <v>27.5</v>
      </c>
      <c r="B57" s="2" t="s">
        <v>105</v>
      </c>
      <c r="C57" s="2">
        <v>2.5</v>
      </c>
      <c r="H57" s="2">
        <f t="shared" si="7"/>
        <v>0.25032628590801237</v>
      </c>
      <c r="I57" s="2"/>
    </row>
    <row r="58" spans="1:9" x14ac:dyDescent="0.25">
      <c r="A58" s="2">
        <v>28</v>
      </c>
      <c r="B58" s="2" t="s">
        <v>106</v>
      </c>
      <c r="C58" s="2">
        <v>2.6</v>
      </c>
      <c r="H58" s="2">
        <f t="shared" si="7"/>
        <v>0.13798574297390284</v>
      </c>
      <c r="I58" s="2"/>
    </row>
    <row r="59" spans="1:9" x14ac:dyDescent="0.25">
      <c r="A59" s="2">
        <v>28.5</v>
      </c>
      <c r="B59" s="2" t="s">
        <v>107</v>
      </c>
      <c r="C59" s="2">
        <v>2.9</v>
      </c>
      <c r="H59" s="2">
        <f t="shared" si="7"/>
        <v>0.48232411363377575</v>
      </c>
      <c r="I59" s="2"/>
    </row>
    <row r="60" spans="1:9" x14ac:dyDescent="0.25">
      <c r="A60" t="s">
        <v>131</v>
      </c>
    </row>
    <row r="61" spans="1:9" x14ac:dyDescent="0.25">
      <c r="A61" t="s">
        <v>132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TZ0324052642</vt:lpstr>
      <vt:lpstr>data_030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RYZEN5 2</dc:creator>
  <cp:lastModifiedBy>Personal Freight</cp:lastModifiedBy>
  <dcterms:created xsi:type="dcterms:W3CDTF">2025-04-29T20:06:21Z</dcterms:created>
  <dcterms:modified xsi:type="dcterms:W3CDTF">2025-05-02T15:18:49Z</dcterms:modified>
</cp:coreProperties>
</file>