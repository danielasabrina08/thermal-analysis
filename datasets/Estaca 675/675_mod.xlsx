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5 2\Desktop\Datos modelo de descenso\Estaca 675\"/>
    </mc:Choice>
  </mc:AlternateContent>
  <xr:revisionPtr revIDLastSave="0" documentId="13_ncr:1_{FC36630A-4BF2-40D4-A0CA-CDD1FE38649D}" xr6:coauthVersionLast="47" xr6:coauthVersionMax="47" xr10:uidLastSave="{00000000-0000-0000-0000-000000000000}"/>
  <bookViews>
    <workbookView xWindow="-120" yWindow="-120" windowWidth="29040" windowHeight="15840" activeTab="1" xr2:uid="{0385941C-A39F-4E76-AB2F-DEC06F4D5CC2}"/>
  </bookViews>
  <sheets>
    <sheet name="TZ0324050882" sheetId="1" r:id="rId1"/>
    <sheet name="Hoja1" sheetId="2" r:id="rId2"/>
  </sheets>
  <definedNames>
    <definedName name="solver_adj" localSheetId="1" hidden="1">Hoja1!$K$4</definedName>
    <definedName name="solver_eng" localSheetId="1" hidden="1">0</definedName>
    <definedName name="solver_neg" localSheetId="1" hidden="1">1</definedName>
    <definedName name="solver_opt" localSheetId="1" hidden="1">Hoja1!$E$90</definedName>
    <definedName name="solver_rxv" localSheetId="1" hidden="1">1</definedName>
    <definedName name="solver_typ" localSheetId="1" hidden="1">2</definedName>
    <definedName name="solver_val" localSheetId="1" hidden="1">0</definedName>
  </definedNames>
  <calcPr calcId="191029"/>
</workbook>
</file>

<file path=xl/calcChain.xml><?xml version="1.0" encoding="utf-8"?>
<calcChain xmlns="http://schemas.openxmlformats.org/spreadsheetml/2006/main">
  <c r="D3" i="2" l="1"/>
  <c r="E3" i="2" s="1"/>
  <c r="F4" i="2"/>
  <c r="F87" i="2"/>
  <c r="H90" i="2"/>
  <c r="K10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4" i="2"/>
  <c r="E4" i="2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6" i="2"/>
  <c r="F5" i="2"/>
  <c r="F7" i="2"/>
  <c r="F8" i="2"/>
  <c r="F9" i="2"/>
  <c r="F10" i="2"/>
  <c r="F11" i="2"/>
  <c r="F12" i="2"/>
  <c r="F13" i="2"/>
  <c r="F14" i="2"/>
  <c r="F15" i="2"/>
  <c r="F16" i="2"/>
  <c r="F17" i="2"/>
  <c r="F3" i="2"/>
  <c r="E37" i="2" l="1"/>
  <c r="E49" i="2"/>
  <c r="E61" i="2"/>
  <c r="E73" i="2"/>
  <c r="E85" i="2"/>
  <c r="E28" i="2"/>
  <c r="E7" i="2"/>
  <c r="E19" i="2"/>
  <c r="E76" i="2"/>
  <c r="E32" i="2"/>
  <c r="E78" i="2"/>
  <c r="E38" i="2"/>
  <c r="E50" i="2"/>
  <c r="E62" i="2"/>
  <c r="E74" i="2"/>
  <c r="E86" i="2"/>
  <c r="E29" i="2"/>
  <c r="E8" i="2"/>
  <c r="E40" i="2"/>
  <c r="E77" i="2"/>
  <c r="E54" i="2"/>
  <c r="E39" i="2"/>
  <c r="E51" i="2"/>
  <c r="E63" i="2"/>
  <c r="E75" i="2"/>
  <c r="E87" i="2"/>
  <c r="E30" i="2"/>
  <c r="E9" i="2"/>
  <c r="E64" i="2"/>
  <c r="E20" i="2"/>
  <c r="E66" i="2"/>
  <c r="E43" i="2"/>
  <c r="E55" i="2"/>
  <c r="E67" i="2"/>
  <c r="E79" i="2"/>
  <c r="E22" i="2"/>
  <c r="E34" i="2"/>
  <c r="E13" i="2"/>
  <c r="E44" i="2"/>
  <c r="E56" i="2"/>
  <c r="E68" i="2"/>
  <c r="E80" i="2"/>
  <c r="E23" i="2"/>
  <c r="E35" i="2"/>
  <c r="E14" i="2"/>
  <c r="E41" i="2"/>
  <c r="E12" i="2"/>
  <c r="E45" i="2"/>
  <c r="E57" i="2"/>
  <c r="E69" i="2"/>
  <c r="E81" i="2"/>
  <c r="E24" i="2"/>
  <c r="E36" i="2"/>
  <c r="E15" i="2"/>
  <c r="E88" i="2"/>
  <c r="E11" i="2"/>
  <c r="E42" i="2"/>
  <c r="E46" i="2"/>
  <c r="E58" i="2"/>
  <c r="E70" i="2"/>
  <c r="E82" i="2"/>
  <c r="E25" i="2"/>
  <c r="E16" i="2"/>
  <c r="E10" i="2"/>
  <c r="E53" i="2"/>
  <c r="E47" i="2"/>
  <c r="E59" i="2"/>
  <c r="E71" i="2"/>
  <c r="E83" i="2"/>
  <c r="E26" i="2"/>
  <c r="E5" i="2"/>
  <c r="E17" i="2"/>
  <c r="E31" i="2"/>
  <c r="E21" i="2"/>
  <c r="E48" i="2"/>
  <c r="E60" i="2"/>
  <c r="E72" i="2"/>
  <c r="E84" i="2"/>
  <c r="E27" i="2"/>
  <c r="E6" i="2"/>
  <c r="E18" i="2"/>
  <c r="E52" i="2"/>
  <c r="E65" i="2"/>
  <c r="E33" i="2"/>
  <c r="E90" i="2" l="1"/>
</calcChain>
</file>

<file path=xl/sharedStrings.xml><?xml version="1.0" encoding="utf-8"?>
<sst xmlns="http://schemas.openxmlformats.org/spreadsheetml/2006/main" count="252" uniqueCount="145">
  <si>
    <t>Device Information</t>
  </si>
  <si>
    <t>******************************</t>
  </si>
  <si>
    <t>Device Type:    TZ-TempU03</t>
  </si>
  <si>
    <t>Firmware Ver:   4.06</t>
  </si>
  <si>
    <t>ID:             TZ0324050882</t>
  </si>
  <si>
    <t>Start Delay:    0 min</t>
  </si>
  <si>
    <t>Log Interval:   30 sec</t>
  </si>
  <si>
    <t>Description:    Pruebas termicas</t>
  </si>
  <si>
    <t>Note:</t>
  </si>
  <si>
    <t>All times shown are based on UTC-6:00 and 24-Hour clock[DD/MM/YY HH:MM:SS]</t>
  </si>
  <si>
    <t>Logging Summary</t>
  </si>
  <si>
    <t>First Point:   29/04/25 12:43:48</t>
  </si>
  <si>
    <t>Stop Time:     29/04/25 13:26:48</t>
  </si>
  <si>
    <t>Number of Points:   87</t>
  </si>
  <si>
    <t>Trip Length:   00d 00h 43m 00s</t>
  </si>
  <si>
    <t>Start Mode:    Button Start</t>
  </si>
  <si>
    <t>Stop Mode:    Manual Stop</t>
  </si>
  <si>
    <t>Max:    26.5C(Temp)/47.0%RH(Humidity)</t>
  </si>
  <si>
    <t>Min:    8.2C(Temp)/31.1%RH(Humidity)</t>
  </si>
  <si>
    <t>Average:14.4C(Temp)/42.3%RH(Humidity)</t>
  </si>
  <si>
    <t>MKT:    16.2C</t>
  </si>
  <si>
    <t>Marked Events</t>
  </si>
  <si>
    <t>N/A</t>
  </si>
  <si>
    <t xml:space="preserve">Alarm Condition	 </t>
  </si>
  <si>
    <t xml:space="preserve">Alarm Delay	 </t>
  </si>
  <si>
    <t xml:space="preserve">First Point Time	  </t>
  </si>
  <si>
    <t xml:space="preserve">Time of Violations 	</t>
  </si>
  <si>
    <t xml:space="preserve">No.of Violations	  </t>
  </si>
  <si>
    <t>Status</t>
  </si>
  <si>
    <t>Over 8.0C</t>
  </si>
  <si>
    <t>00d 00h 10m 00s</t>
  </si>
  <si>
    <t xml:space="preserve"> 29/04/25 12:43:48</t>
  </si>
  <si>
    <t>00d 00h 43m 00s</t>
  </si>
  <si>
    <t>Alarm</t>
  </si>
  <si>
    <t>Below 2.0C</t>
  </si>
  <si>
    <t>00/00/00 00:00:00</t>
  </si>
  <si>
    <t>00d 00h 00m 00s</t>
  </si>
  <si>
    <t>OK</t>
  </si>
  <si>
    <t>Over 90.0%RH</t>
  </si>
  <si>
    <t>Below 15.0%RH</t>
  </si>
  <si>
    <t>Date</t>
  </si>
  <si>
    <t>Time</t>
  </si>
  <si>
    <t>Temperature(C)</t>
  </si>
  <si>
    <t>Humidity(%RH)</t>
  </si>
  <si>
    <t xml:space="preserve"> 12:43:48</t>
  </si>
  <si>
    <t xml:space="preserve"> 12:44:18</t>
  </si>
  <si>
    <t xml:space="preserve"> 12:44:48</t>
  </si>
  <si>
    <t xml:space="preserve"> 12:45:18</t>
  </si>
  <si>
    <t xml:space="preserve"> 12:45:48</t>
  </si>
  <si>
    <t xml:space="preserve"> 12:46:18</t>
  </si>
  <si>
    <t xml:space="preserve"> 12:46:48</t>
  </si>
  <si>
    <t xml:space="preserve"> 12:47:18</t>
  </si>
  <si>
    <t xml:space="preserve"> 12:47:48</t>
  </si>
  <si>
    <t xml:space="preserve"> 12:48:18</t>
  </si>
  <si>
    <t xml:space="preserve"> 12:48:48</t>
  </si>
  <si>
    <t xml:space="preserve"> 12:49:18</t>
  </si>
  <si>
    <t xml:space="preserve"> 12:49:48</t>
  </si>
  <si>
    <t xml:space="preserve"> 12:50:18</t>
  </si>
  <si>
    <t xml:space="preserve"> 12:50:48</t>
  </si>
  <si>
    <t xml:space="preserve"> 12:51:18</t>
  </si>
  <si>
    <t xml:space="preserve"> 12:51:48</t>
  </si>
  <si>
    <t xml:space="preserve"> 12:52:18</t>
  </si>
  <si>
    <t xml:space="preserve"> 12:52:48</t>
  </si>
  <si>
    <t xml:space="preserve"> 12:53:18</t>
  </si>
  <si>
    <t xml:space="preserve"> 12:53:48</t>
  </si>
  <si>
    <t xml:space="preserve"> 12:54:18</t>
  </si>
  <si>
    <t xml:space="preserve"> 12:54:48</t>
  </si>
  <si>
    <t xml:space="preserve"> 12:55:18</t>
  </si>
  <si>
    <t xml:space="preserve"> 12:55:48</t>
  </si>
  <si>
    <t xml:space="preserve"> 12:56:18</t>
  </si>
  <si>
    <t xml:space="preserve"> 12:56:48</t>
  </si>
  <si>
    <t xml:space="preserve"> 12:57:18</t>
  </si>
  <si>
    <t xml:space="preserve"> 12:57:48</t>
  </si>
  <si>
    <t xml:space="preserve"> 12:58:18</t>
  </si>
  <si>
    <t xml:space="preserve"> 12:58:48</t>
  </si>
  <si>
    <t xml:space="preserve"> 12:59:18</t>
  </si>
  <si>
    <t xml:space="preserve"> 12:59:48</t>
  </si>
  <si>
    <t xml:space="preserve"> 13:00:18</t>
  </si>
  <si>
    <t xml:space="preserve"> 13:00:48</t>
  </si>
  <si>
    <t xml:space="preserve"> 13:01:18</t>
  </si>
  <si>
    <t xml:space="preserve"> 13:01:48</t>
  </si>
  <si>
    <t xml:space="preserve"> 13:02:18</t>
  </si>
  <si>
    <t xml:space="preserve"> 13:02:48</t>
  </si>
  <si>
    <t xml:space="preserve"> 13:03:18</t>
  </si>
  <si>
    <t xml:space="preserve"> 13:03:48</t>
  </si>
  <si>
    <t xml:space="preserve"> 13:04:18</t>
  </si>
  <si>
    <t xml:space="preserve"> 13:04:48</t>
  </si>
  <si>
    <t xml:space="preserve"> 13:05:18</t>
  </si>
  <si>
    <t xml:space="preserve"> 13:05:48</t>
  </si>
  <si>
    <t xml:space="preserve"> 13:06:18</t>
  </si>
  <si>
    <t xml:space="preserve"> 13:06:48</t>
  </si>
  <si>
    <t xml:space="preserve"> 13:07:18</t>
  </si>
  <si>
    <t xml:space="preserve"> 13:07:48</t>
  </si>
  <si>
    <t xml:space="preserve"> 13:08:18</t>
  </si>
  <si>
    <t xml:space="preserve"> 13:08:48</t>
  </si>
  <si>
    <t xml:space="preserve"> 13:09:18</t>
  </si>
  <si>
    <t xml:space="preserve"> 13:09:48</t>
  </si>
  <si>
    <t xml:space="preserve"> 13:10:18</t>
  </si>
  <si>
    <t xml:space="preserve"> 13:10:48</t>
  </si>
  <si>
    <t xml:space="preserve"> 13:11:18</t>
  </si>
  <si>
    <t xml:space="preserve"> 13:11:48</t>
  </si>
  <si>
    <t xml:space="preserve"> 13:12:18</t>
  </si>
  <si>
    <t xml:space="preserve"> 13:12:48</t>
  </si>
  <si>
    <t xml:space="preserve"> 13:13:18</t>
  </si>
  <si>
    <t xml:space="preserve"> 13:13:48</t>
  </si>
  <si>
    <t xml:space="preserve"> 13:14:18</t>
  </si>
  <si>
    <t xml:space="preserve"> 13:14:48</t>
  </si>
  <si>
    <t xml:space="preserve"> 13:15:18</t>
  </si>
  <si>
    <t xml:space="preserve"> 13:15:48</t>
  </si>
  <si>
    <t xml:space="preserve"> 13:16:18</t>
  </si>
  <si>
    <t xml:space="preserve"> 13:16:48</t>
  </si>
  <si>
    <t xml:space="preserve"> 13:17:18</t>
  </si>
  <si>
    <t xml:space="preserve"> 13:17:48</t>
  </si>
  <si>
    <t xml:space="preserve"> 13:18:18</t>
  </si>
  <si>
    <t xml:space="preserve"> 13:18:48</t>
  </si>
  <si>
    <t xml:space="preserve"> 13:19:18</t>
  </si>
  <si>
    <t xml:space="preserve"> 13:19:48</t>
  </si>
  <si>
    <t xml:space="preserve"> 13:20:18</t>
  </si>
  <si>
    <t xml:space="preserve"> 13:20:48</t>
  </si>
  <si>
    <t xml:space="preserve"> 13:21:18</t>
  </si>
  <si>
    <t xml:space="preserve"> 13:21:48</t>
  </si>
  <si>
    <t xml:space="preserve"> 13:22:18</t>
  </si>
  <si>
    <t xml:space="preserve"> 13:22:48</t>
  </si>
  <si>
    <t xml:space="preserve"> 13:23:18</t>
  </si>
  <si>
    <t xml:space="preserve"> 13:23:48</t>
  </si>
  <si>
    <t xml:space="preserve"> 13:24:18</t>
  </si>
  <si>
    <t xml:space="preserve"> 13:24:48</t>
  </si>
  <si>
    <t xml:space="preserve"> 13:25:18</t>
  </si>
  <si>
    <t xml:space="preserve"> 13:25:48</t>
  </si>
  <si>
    <t xml:space="preserve"> 13:26:18</t>
  </si>
  <si>
    <t xml:space="preserve"> 13:26:48</t>
  </si>
  <si>
    <t>Temp</t>
  </si>
  <si>
    <t>T_ambiente</t>
  </si>
  <si>
    <t>k</t>
  </si>
  <si>
    <t>Min</t>
  </si>
  <si>
    <t>27.4 + (27.3 - 27.4) * EXP(-H2 * A2)</t>
  </si>
  <si>
    <t>Temp_modelo</t>
  </si>
  <si>
    <t>T_objetivo</t>
  </si>
  <si>
    <t xml:space="preserve">error </t>
  </si>
  <si>
    <t>k_calc</t>
  </si>
  <si>
    <t>suma error</t>
  </si>
  <si>
    <t>descenso_prom</t>
  </si>
  <si>
    <t>[°C/min]</t>
  </si>
  <si>
    <t>Modelo de enfriamiento</t>
  </si>
  <si>
    <t>descenso/min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</si>
</sst>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2181209690796085E-2"/>
                  <c:y val="-0.153109859572222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Hoja1!$B$2:$B$88</c:f>
              <c:strCache>
                <c:ptCount val="87"/>
                <c:pt idx="0">
                  <c:v> 12:43:48</c:v>
                </c:pt>
                <c:pt idx="1">
                  <c:v> 12:44:18</c:v>
                </c:pt>
                <c:pt idx="2">
                  <c:v> 12:44:48</c:v>
                </c:pt>
                <c:pt idx="3">
                  <c:v> 12:45:18</c:v>
                </c:pt>
                <c:pt idx="4">
                  <c:v> 12:45:48</c:v>
                </c:pt>
                <c:pt idx="5">
                  <c:v> 12:46:18</c:v>
                </c:pt>
                <c:pt idx="6">
                  <c:v> 12:46:48</c:v>
                </c:pt>
                <c:pt idx="7">
                  <c:v> 12:47:18</c:v>
                </c:pt>
                <c:pt idx="8">
                  <c:v> 12:47:48</c:v>
                </c:pt>
                <c:pt idx="9">
                  <c:v> 12:48:18</c:v>
                </c:pt>
                <c:pt idx="10">
                  <c:v> 12:48:48</c:v>
                </c:pt>
                <c:pt idx="11">
                  <c:v> 12:49:18</c:v>
                </c:pt>
                <c:pt idx="12">
                  <c:v> 12:49:48</c:v>
                </c:pt>
                <c:pt idx="13">
                  <c:v> 12:50:18</c:v>
                </c:pt>
                <c:pt idx="14">
                  <c:v> 12:50:48</c:v>
                </c:pt>
                <c:pt idx="15">
                  <c:v> 12:51:18</c:v>
                </c:pt>
                <c:pt idx="16">
                  <c:v> 12:51:48</c:v>
                </c:pt>
                <c:pt idx="17">
                  <c:v> 12:52:18</c:v>
                </c:pt>
                <c:pt idx="18">
                  <c:v> 12:52:48</c:v>
                </c:pt>
                <c:pt idx="19">
                  <c:v> 12:53:18</c:v>
                </c:pt>
                <c:pt idx="20">
                  <c:v> 12:53:48</c:v>
                </c:pt>
                <c:pt idx="21">
                  <c:v> 12:54:18</c:v>
                </c:pt>
                <c:pt idx="22">
                  <c:v> 12:54:48</c:v>
                </c:pt>
                <c:pt idx="23">
                  <c:v> 12:55:18</c:v>
                </c:pt>
                <c:pt idx="24">
                  <c:v> 12:55:48</c:v>
                </c:pt>
                <c:pt idx="25">
                  <c:v> 12:56:18</c:v>
                </c:pt>
                <c:pt idx="26">
                  <c:v> 12:56:48</c:v>
                </c:pt>
                <c:pt idx="27">
                  <c:v> 12:57:18</c:v>
                </c:pt>
                <c:pt idx="28">
                  <c:v> 12:57:48</c:v>
                </c:pt>
                <c:pt idx="29">
                  <c:v> 12:58:18</c:v>
                </c:pt>
                <c:pt idx="30">
                  <c:v> 12:58:48</c:v>
                </c:pt>
                <c:pt idx="31">
                  <c:v> 12:59:18</c:v>
                </c:pt>
                <c:pt idx="32">
                  <c:v> 12:59:48</c:v>
                </c:pt>
                <c:pt idx="33">
                  <c:v> 13:00:18</c:v>
                </c:pt>
                <c:pt idx="34">
                  <c:v> 13:00:48</c:v>
                </c:pt>
                <c:pt idx="35">
                  <c:v> 13:01:18</c:v>
                </c:pt>
                <c:pt idx="36">
                  <c:v> 13:01:48</c:v>
                </c:pt>
                <c:pt idx="37">
                  <c:v> 13:02:18</c:v>
                </c:pt>
                <c:pt idx="38">
                  <c:v> 13:02:48</c:v>
                </c:pt>
                <c:pt idx="39">
                  <c:v> 13:03:18</c:v>
                </c:pt>
                <c:pt idx="40">
                  <c:v> 13:03:48</c:v>
                </c:pt>
                <c:pt idx="41">
                  <c:v> 13:04:18</c:v>
                </c:pt>
                <c:pt idx="42">
                  <c:v> 13:04:48</c:v>
                </c:pt>
                <c:pt idx="43">
                  <c:v> 13:05:18</c:v>
                </c:pt>
                <c:pt idx="44">
                  <c:v> 13:05:48</c:v>
                </c:pt>
                <c:pt idx="45">
                  <c:v> 13:06:18</c:v>
                </c:pt>
                <c:pt idx="46">
                  <c:v> 13:06:48</c:v>
                </c:pt>
                <c:pt idx="47">
                  <c:v> 13:07:18</c:v>
                </c:pt>
                <c:pt idx="48">
                  <c:v> 13:07:48</c:v>
                </c:pt>
                <c:pt idx="49">
                  <c:v> 13:08:18</c:v>
                </c:pt>
                <c:pt idx="50">
                  <c:v> 13:08:48</c:v>
                </c:pt>
                <c:pt idx="51">
                  <c:v> 13:09:18</c:v>
                </c:pt>
                <c:pt idx="52">
                  <c:v> 13:09:48</c:v>
                </c:pt>
                <c:pt idx="53">
                  <c:v> 13:10:18</c:v>
                </c:pt>
                <c:pt idx="54">
                  <c:v> 13:10:48</c:v>
                </c:pt>
                <c:pt idx="55">
                  <c:v> 13:11:18</c:v>
                </c:pt>
                <c:pt idx="56">
                  <c:v> 13:11:48</c:v>
                </c:pt>
                <c:pt idx="57">
                  <c:v> 13:12:18</c:v>
                </c:pt>
                <c:pt idx="58">
                  <c:v> 13:12:48</c:v>
                </c:pt>
                <c:pt idx="59">
                  <c:v> 13:13:18</c:v>
                </c:pt>
                <c:pt idx="60">
                  <c:v> 13:13:48</c:v>
                </c:pt>
                <c:pt idx="61">
                  <c:v> 13:14:18</c:v>
                </c:pt>
                <c:pt idx="62">
                  <c:v> 13:14:48</c:v>
                </c:pt>
                <c:pt idx="63">
                  <c:v> 13:15:18</c:v>
                </c:pt>
                <c:pt idx="64">
                  <c:v> 13:15:48</c:v>
                </c:pt>
                <c:pt idx="65">
                  <c:v> 13:16:18</c:v>
                </c:pt>
                <c:pt idx="66">
                  <c:v> 13:16:48</c:v>
                </c:pt>
                <c:pt idx="67">
                  <c:v> 13:17:18</c:v>
                </c:pt>
                <c:pt idx="68">
                  <c:v> 13:17:48</c:v>
                </c:pt>
                <c:pt idx="69">
                  <c:v> 13:18:18</c:v>
                </c:pt>
                <c:pt idx="70">
                  <c:v> 13:18:48</c:v>
                </c:pt>
                <c:pt idx="71">
                  <c:v> 13:19:18</c:v>
                </c:pt>
                <c:pt idx="72">
                  <c:v> 13:19:48</c:v>
                </c:pt>
                <c:pt idx="73">
                  <c:v> 13:20:18</c:v>
                </c:pt>
                <c:pt idx="74">
                  <c:v> 13:20:48</c:v>
                </c:pt>
                <c:pt idx="75">
                  <c:v> 13:21:18</c:v>
                </c:pt>
                <c:pt idx="76">
                  <c:v> 13:21:48</c:v>
                </c:pt>
                <c:pt idx="77">
                  <c:v> 13:22:18</c:v>
                </c:pt>
                <c:pt idx="78">
                  <c:v> 13:22:48</c:v>
                </c:pt>
                <c:pt idx="79">
                  <c:v> 13:23:18</c:v>
                </c:pt>
                <c:pt idx="80">
                  <c:v> 13:23:48</c:v>
                </c:pt>
                <c:pt idx="81">
                  <c:v> 13:24:18</c:v>
                </c:pt>
                <c:pt idx="82">
                  <c:v> 13:24:48</c:v>
                </c:pt>
                <c:pt idx="83">
                  <c:v> 13:25:18</c:v>
                </c:pt>
                <c:pt idx="84">
                  <c:v> 13:25:48</c:v>
                </c:pt>
                <c:pt idx="85">
                  <c:v> 13:26:18</c:v>
                </c:pt>
                <c:pt idx="86">
                  <c:v> 13:26:48</c:v>
                </c:pt>
              </c:strCache>
            </c:strRef>
          </c:xVal>
          <c:yVal>
            <c:numRef>
              <c:f>Hoja1!$C$2:$C$88</c:f>
              <c:numCache>
                <c:formatCode>General</c:formatCode>
                <c:ptCount val="87"/>
                <c:pt idx="0">
                  <c:v>26.3</c:v>
                </c:pt>
                <c:pt idx="1">
                  <c:v>26.5</c:v>
                </c:pt>
                <c:pt idx="2">
                  <c:v>26.5</c:v>
                </c:pt>
                <c:pt idx="3">
                  <c:v>26.3</c:v>
                </c:pt>
                <c:pt idx="4">
                  <c:v>26.1</c:v>
                </c:pt>
                <c:pt idx="5">
                  <c:v>25.8</c:v>
                </c:pt>
                <c:pt idx="6">
                  <c:v>25.3</c:v>
                </c:pt>
                <c:pt idx="7">
                  <c:v>24.7</c:v>
                </c:pt>
                <c:pt idx="8">
                  <c:v>24</c:v>
                </c:pt>
                <c:pt idx="9">
                  <c:v>23.3</c:v>
                </c:pt>
                <c:pt idx="10">
                  <c:v>22.7</c:v>
                </c:pt>
                <c:pt idx="11">
                  <c:v>22.1</c:v>
                </c:pt>
                <c:pt idx="12">
                  <c:v>21.5</c:v>
                </c:pt>
                <c:pt idx="13">
                  <c:v>20.9</c:v>
                </c:pt>
                <c:pt idx="14">
                  <c:v>20.399999999999999</c:v>
                </c:pt>
                <c:pt idx="15">
                  <c:v>19.899999999999999</c:v>
                </c:pt>
                <c:pt idx="16">
                  <c:v>19.399999999999999</c:v>
                </c:pt>
                <c:pt idx="17">
                  <c:v>19</c:v>
                </c:pt>
                <c:pt idx="18">
                  <c:v>18.5</c:v>
                </c:pt>
                <c:pt idx="19">
                  <c:v>18.2</c:v>
                </c:pt>
                <c:pt idx="20">
                  <c:v>17.8</c:v>
                </c:pt>
                <c:pt idx="21">
                  <c:v>17.399999999999999</c:v>
                </c:pt>
                <c:pt idx="22">
                  <c:v>17.100000000000001</c:v>
                </c:pt>
                <c:pt idx="23">
                  <c:v>16.8</c:v>
                </c:pt>
                <c:pt idx="24">
                  <c:v>16.5</c:v>
                </c:pt>
                <c:pt idx="25">
                  <c:v>16.2</c:v>
                </c:pt>
                <c:pt idx="26">
                  <c:v>15.9</c:v>
                </c:pt>
                <c:pt idx="27">
                  <c:v>15.7</c:v>
                </c:pt>
                <c:pt idx="28">
                  <c:v>15.4</c:v>
                </c:pt>
                <c:pt idx="29">
                  <c:v>15.2</c:v>
                </c:pt>
                <c:pt idx="30">
                  <c:v>15</c:v>
                </c:pt>
                <c:pt idx="31">
                  <c:v>14.7</c:v>
                </c:pt>
                <c:pt idx="32">
                  <c:v>14.5</c:v>
                </c:pt>
                <c:pt idx="33">
                  <c:v>14.3</c:v>
                </c:pt>
                <c:pt idx="34">
                  <c:v>14.1</c:v>
                </c:pt>
                <c:pt idx="35">
                  <c:v>14</c:v>
                </c:pt>
                <c:pt idx="36">
                  <c:v>13.8</c:v>
                </c:pt>
                <c:pt idx="37">
                  <c:v>13.6</c:v>
                </c:pt>
                <c:pt idx="38">
                  <c:v>13.5</c:v>
                </c:pt>
                <c:pt idx="39">
                  <c:v>13.3</c:v>
                </c:pt>
                <c:pt idx="40">
                  <c:v>13.1</c:v>
                </c:pt>
                <c:pt idx="41">
                  <c:v>13</c:v>
                </c:pt>
                <c:pt idx="42">
                  <c:v>12.8</c:v>
                </c:pt>
                <c:pt idx="43">
                  <c:v>12.7</c:v>
                </c:pt>
                <c:pt idx="44">
                  <c:v>12.5</c:v>
                </c:pt>
                <c:pt idx="45">
                  <c:v>12.4</c:v>
                </c:pt>
                <c:pt idx="46">
                  <c:v>12.3</c:v>
                </c:pt>
                <c:pt idx="47">
                  <c:v>12.1</c:v>
                </c:pt>
                <c:pt idx="48">
                  <c:v>12</c:v>
                </c:pt>
                <c:pt idx="49">
                  <c:v>11.9</c:v>
                </c:pt>
                <c:pt idx="50">
                  <c:v>11.8</c:v>
                </c:pt>
                <c:pt idx="51">
                  <c:v>11.7</c:v>
                </c:pt>
                <c:pt idx="52">
                  <c:v>11.6</c:v>
                </c:pt>
                <c:pt idx="53">
                  <c:v>11.4</c:v>
                </c:pt>
                <c:pt idx="54">
                  <c:v>11.3</c:v>
                </c:pt>
                <c:pt idx="55">
                  <c:v>11.2</c:v>
                </c:pt>
                <c:pt idx="56">
                  <c:v>11.1</c:v>
                </c:pt>
                <c:pt idx="57">
                  <c:v>11</c:v>
                </c:pt>
                <c:pt idx="58">
                  <c:v>10.9</c:v>
                </c:pt>
                <c:pt idx="59">
                  <c:v>10.8</c:v>
                </c:pt>
                <c:pt idx="60">
                  <c:v>10.7</c:v>
                </c:pt>
                <c:pt idx="61">
                  <c:v>10.6</c:v>
                </c:pt>
                <c:pt idx="62">
                  <c:v>10.5</c:v>
                </c:pt>
                <c:pt idx="63">
                  <c:v>10.4</c:v>
                </c:pt>
                <c:pt idx="64">
                  <c:v>10.3</c:v>
                </c:pt>
                <c:pt idx="65">
                  <c:v>10.199999999999999</c:v>
                </c:pt>
                <c:pt idx="66">
                  <c:v>10</c:v>
                </c:pt>
                <c:pt idx="67">
                  <c:v>10</c:v>
                </c:pt>
                <c:pt idx="68">
                  <c:v>9.9</c:v>
                </c:pt>
                <c:pt idx="69">
                  <c:v>9.6999999999999993</c:v>
                </c:pt>
                <c:pt idx="70">
                  <c:v>9.6</c:v>
                </c:pt>
                <c:pt idx="71">
                  <c:v>9.5</c:v>
                </c:pt>
                <c:pt idx="72">
                  <c:v>9.5</c:v>
                </c:pt>
                <c:pt idx="73">
                  <c:v>9.4</c:v>
                </c:pt>
                <c:pt idx="74">
                  <c:v>9.3000000000000007</c:v>
                </c:pt>
                <c:pt idx="75">
                  <c:v>9.1999999999999993</c:v>
                </c:pt>
                <c:pt idx="76">
                  <c:v>9.1</c:v>
                </c:pt>
                <c:pt idx="77">
                  <c:v>9</c:v>
                </c:pt>
                <c:pt idx="78">
                  <c:v>8.9</c:v>
                </c:pt>
                <c:pt idx="79">
                  <c:v>8.8000000000000007</c:v>
                </c:pt>
                <c:pt idx="80">
                  <c:v>8.6999999999999993</c:v>
                </c:pt>
                <c:pt idx="81">
                  <c:v>8.6999999999999993</c:v>
                </c:pt>
                <c:pt idx="82">
                  <c:v>8.6</c:v>
                </c:pt>
                <c:pt idx="83">
                  <c:v>8.5</c:v>
                </c:pt>
                <c:pt idx="84">
                  <c:v>8.4</c:v>
                </c:pt>
                <c:pt idx="85">
                  <c:v>8.3000000000000007</c:v>
                </c:pt>
                <c:pt idx="86">
                  <c:v>8.1999999999999993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9D-40FC-99A1-25873A590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532944"/>
        <c:axId val="1719524784"/>
      </c:scatterChart>
      <c:valAx>
        <c:axId val="17195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9524784"/>
        <c:crosses val="autoZero"/>
        <c:crossBetween val="midCat"/>
      </c:valAx>
      <c:valAx>
        <c:axId val="17195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953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14</xdr:row>
      <xdr:rowOff>157162</xdr:rowOff>
    </xdr:from>
    <xdr:to>
      <xdr:col>14</xdr:col>
      <xdr:colOff>295275</xdr:colOff>
      <xdr:row>30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599009-A5E8-D175-EAFE-E55CB29C2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226990</xdr:colOff>
      <xdr:row>4</xdr:row>
      <xdr:rowOff>87361</xdr:rowOff>
    </xdr:from>
    <xdr:ext cx="2994089" cy="24814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D9E6F99-CB28-934B-D3F2-9FE4341F4078}"/>
                </a:ext>
              </a:extLst>
            </xdr:cNvPr>
            <xdr:cNvSpPr txBox="1"/>
          </xdr:nvSpPr>
          <xdr:spPr>
            <a:xfrm>
              <a:off x="9866022" y="838629"/>
              <a:ext cx="2994089" cy="248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400" b="0" i="1">
                        <a:latin typeface="Cambria Math" panose="02040503050406030204" pitchFamily="18" charset="0"/>
                      </a:rPr>
                      <m:t>𝑇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𝑜𝑏𝑗𝑒𝑡𝑖𝑣𝑜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E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s-ES" sz="1400" b="0" i="1">
                                <a:latin typeface="Cambria Math" panose="02040503050406030204" pitchFamily="18" charset="0"/>
                              </a:rPr>
                              <m:t>𝑜𝑏𝑗𝑒𝑡𝑖𝑣𝑜</m:t>
                            </m:r>
                          </m:sub>
                        </m:sSub>
                      </m:e>
                    </m:d>
                    <m:sSup>
                      <m:sSup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𝑘𝑡</m:t>
                        </m:r>
                      </m:sup>
                    </m:sSup>
                  </m:oMath>
                </m:oMathPara>
              </a14:m>
              <a:endParaRPr lang="es-MX" sz="14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D9E6F99-CB28-934B-D3F2-9FE4341F4078}"/>
                </a:ext>
              </a:extLst>
            </xdr:cNvPr>
            <xdr:cNvSpPr txBox="1"/>
          </xdr:nvSpPr>
          <xdr:spPr>
            <a:xfrm>
              <a:off x="9866022" y="838629"/>
              <a:ext cx="2994089" cy="248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𝑇(𝑡)=𝑇_𝑜𝑏𝑗𝑒𝑡𝑖𝑣𝑜+(𝑇_0−𝑇_𝑜𝑏𝑗𝑒𝑡𝑖𝑣𝑜 ) 𝑒^(−𝑘𝑡)</a:t>
              </a:r>
              <a:endParaRPr lang="es-MX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062BBB-1068-4E92-A94B-787EEB669745}">
  <we:reference id="wa104100404" version="3.0.0.1" store="es-ES" storeType="OMEX"/>
  <we:alternateReferences>
    <we:reference id="wa104100404" version="3.0.0.1" store="wa104100404" storeType="OMEX"/>
  </we:alternateReferences>
  <we:properties>
    <we:property name="UniqueID" value="&quot;2025329174596780191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B2BE-61F4-4E35-821C-C842AA55BF8C}">
  <dimension ref="A1:F124"/>
  <sheetViews>
    <sheetView topLeftCell="A89" workbookViewId="0">
      <selection activeCell="B38" sqref="B38:C12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2" spans="1:1" x14ac:dyDescent="0.25">
      <c r="A12" t="s">
        <v>10</v>
      </c>
    </row>
    <row r="13" spans="1:1" x14ac:dyDescent="0.25">
      <c r="A13" t="s">
        <v>1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6" x14ac:dyDescent="0.25">
      <c r="A17" t="s">
        <v>14</v>
      </c>
    </row>
    <row r="18" spans="1:6" x14ac:dyDescent="0.25">
      <c r="A18" t="s">
        <v>15</v>
      </c>
    </row>
    <row r="19" spans="1:6" x14ac:dyDescent="0.25">
      <c r="A19" t="s">
        <v>16</v>
      </c>
    </row>
    <row r="20" spans="1:6" x14ac:dyDescent="0.25">
      <c r="A20" t="s">
        <v>17</v>
      </c>
    </row>
    <row r="21" spans="1:6" x14ac:dyDescent="0.25">
      <c r="A21" t="s">
        <v>18</v>
      </c>
    </row>
    <row r="22" spans="1:6" x14ac:dyDescent="0.25">
      <c r="A22" t="s">
        <v>19</v>
      </c>
    </row>
    <row r="23" spans="1:6" x14ac:dyDescent="0.25">
      <c r="A23" t="s">
        <v>20</v>
      </c>
    </row>
    <row r="25" spans="1:6" x14ac:dyDescent="0.25">
      <c r="A25" t="s">
        <v>21</v>
      </c>
    </row>
    <row r="26" spans="1:6" x14ac:dyDescent="0.25">
      <c r="A26" t="s">
        <v>1</v>
      </c>
    </row>
    <row r="27" spans="1:6" x14ac:dyDescent="0.25">
      <c r="A27" t="s">
        <v>22</v>
      </c>
    </row>
    <row r="29" spans="1:6" x14ac:dyDescent="0.25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</row>
    <row r="30" spans="1:6" x14ac:dyDescent="0.25">
      <c r="A30" t="s">
        <v>1</v>
      </c>
      <c r="B30" t="s">
        <v>1</v>
      </c>
      <c r="C30" t="s">
        <v>1</v>
      </c>
      <c r="D30" t="s">
        <v>1</v>
      </c>
    </row>
    <row r="31" spans="1:6" x14ac:dyDescent="0.25">
      <c r="A31" t="s">
        <v>29</v>
      </c>
      <c r="B31" t="s">
        <v>30</v>
      </c>
      <c r="C31" t="s">
        <v>31</v>
      </c>
      <c r="D31" t="s">
        <v>32</v>
      </c>
      <c r="E31">
        <v>87</v>
      </c>
      <c r="F31" t="s">
        <v>33</v>
      </c>
    </row>
    <row r="32" spans="1:6" x14ac:dyDescent="0.25">
      <c r="A32" t="s">
        <v>34</v>
      </c>
      <c r="B32" t="s">
        <v>30</v>
      </c>
      <c r="C32" t="s">
        <v>35</v>
      </c>
      <c r="D32" t="s">
        <v>36</v>
      </c>
      <c r="E32">
        <v>0</v>
      </c>
      <c r="F32" t="s">
        <v>37</v>
      </c>
    </row>
    <row r="33" spans="1:6" x14ac:dyDescent="0.25">
      <c r="A33" t="s">
        <v>38</v>
      </c>
      <c r="B33" t="s">
        <v>30</v>
      </c>
      <c r="C33" t="s">
        <v>35</v>
      </c>
      <c r="D33" t="s">
        <v>36</v>
      </c>
      <c r="E33">
        <v>0</v>
      </c>
      <c r="F33" t="s">
        <v>37</v>
      </c>
    </row>
    <row r="34" spans="1:6" x14ac:dyDescent="0.25">
      <c r="A34" t="s">
        <v>39</v>
      </c>
      <c r="B34" t="s">
        <v>30</v>
      </c>
      <c r="C34" t="s">
        <v>35</v>
      </c>
      <c r="D34" t="s">
        <v>36</v>
      </c>
      <c r="E34">
        <v>0</v>
      </c>
      <c r="F34" t="s">
        <v>37</v>
      </c>
    </row>
    <row r="36" spans="1:6" x14ac:dyDescent="0.25">
      <c r="A36" t="s">
        <v>40</v>
      </c>
      <c r="B36" t="s">
        <v>41</v>
      </c>
      <c r="C36" t="s">
        <v>42</v>
      </c>
      <c r="D36" t="s">
        <v>43</v>
      </c>
    </row>
    <row r="37" spans="1:6" x14ac:dyDescent="0.25">
      <c r="A37" t="s">
        <v>1</v>
      </c>
      <c r="B37" t="s">
        <v>1</v>
      </c>
      <c r="C37" t="s">
        <v>1</v>
      </c>
      <c r="D37" t="s">
        <v>1</v>
      </c>
    </row>
    <row r="38" spans="1:6" x14ac:dyDescent="0.25">
      <c r="A38" s="1">
        <v>45776</v>
      </c>
      <c r="B38" t="s">
        <v>44</v>
      </c>
      <c r="C38">
        <v>26.3</v>
      </c>
      <c r="D38">
        <v>42.4</v>
      </c>
    </row>
    <row r="39" spans="1:6" x14ac:dyDescent="0.25">
      <c r="A39" s="1">
        <v>45776</v>
      </c>
      <c r="B39" t="s">
        <v>45</v>
      </c>
      <c r="C39">
        <v>26.5</v>
      </c>
      <c r="D39">
        <v>33.700000000000003</v>
      </c>
    </row>
    <row r="40" spans="1:6" x14ac:dyDescent="0.25">
      <c r="A40" s="1">
        <v>45776</v>
      </c>
      <c r="B40" t="s">
        <v>46</v>
      </c>
      <c r="C40">
        <v>26.5</v>
      </c>
      <c r="D40">
        <v>32.299999999999997</v>
      </c>
    </row>
    <row r="41" spans="1:6" x14ac:dyDescent="0.25">
      <c r="A41" s="1">
        <v>45776</v>
      </c>
      <c r="B41" t="s">
        <v>47</v>
      </c>
      <c r="C41">
        <v>26.3</v>
      </c>
      <c r="D41">
        <v>31.9</v>
      </c>
    </row>
    <row r="42" spans="1:6" x14ac:dyDescent="0.25">
      <c r="A42" s="1">
        <v>45776</v>
      </c>
      <c r="B42" t="s">
        <v>48</v>
      </c>
      <c r="C42">
        <v>26.1</v>
      </c>
      <c r="D42">
        <v>31.2</v>
      </c>
    </row>
    <row r="43" spans="1:6" x14ac:dyDescent="0.25">
      <c r="A43" s="1">
        <v>45776</v>
      </c>
      <c r="B43" t="s">
        <v>49</v>
      </c>
      <c r="C43">
        <v>25.8</v>
      </c>
      <c r="D43">
        <v>31.1</v>
      </c>
    </row>
    <row r="44" spans="1:6" x14ac:dyDescent="0.25">
      <c r="A44" s="1">
        <v>45776</v>
      </c>
      <c r="B44" t="s">
        <v>50</v>
      </c>
      <c r="C44">
        <v>25.3</v>
      </c>
      <c r="D44">
        <v>31.2</v>
      </c>
    </row>
    <row r="45" spans="1:6" x14ac:dyDescent="0.25">
      <c r="A45" s="1">
        <v>45776</v>
      </c>
      <c r="B45" t="s">
        <v>51</v>
      </c>
      <c r="C45">
        <v>24.7</v>
      </c>
      <c r="D45">
        <v>31.6</v>
      </c>
    </row>
    <row r="46" spans="1:6" x14ac:dyDescent="0.25">
      <c r="A46" s="1">
        <v>45776</v>
      </c>
      <c r="B46" t="s">
        <v>52</v>
      </c>
      <c r="C46">
        <v>24</v>
      </c>
      <c r="D46">
        <v>32.1</v>
      </c>
    </row>
    <row r="47" spans="1:6" x14ac:dyDescent="0.25">
      <c r="A47" s="1">
        <v>45776</v>
      </c>
      <c r="B47" t="s">
        <v>53</v>
      </c>
      <c r="C47">
        <v>23.3</v>
      </c>
      <c r="D47">
        <v>32.700000000000003</v>
      </c>
    </row>
    <row r="48" spans="1:6" x14ac:dyDescent="0.25">
      <c r="A48" s="1">
        <v>45776</v>
      </c>
      <c r="B48" t="s">
        <v>54</v>
      </c>
      <c r="C48">
        <v>22.7</v>
      </c>
      <c r="D48">
        <v>33.299999999999997</v>
      </c>
    </row>
    <row r="49" spans="1:4" x14ac:dyDescent="0.25">
      <c r="A49" s="1">
        <v>45776</v>
      </c>
      <c r="B49" t="s">
        <v>55</v>
      </c>
      <c r="C49">
        <v>22.1</v>
      </c>
      <c r="D49">
        <v>33.9</v>
      </c>
    </row>
    <row r="50" spans="1:4" x14ac:dyDescent="0.25">
      <c r="A50" s="1">
        <v>45776</v>
      </c>
      <c r="B50" t="s">
        <v>56</v>
      </c>
      <c r="C50">
        <v>21.5</v>
      </c>
      <c r="D50">
        <v>34.6</v>
      </c>
    </row>
    <row r="51" spans="1:4" x14ac:dyDescent="0.25">
      <c r="A51" s="1">
        <v>45776</v>
      </c>
      <c r="B51" t="s">
        <v>57</v>
      </c>
      <c r="C51">
        <v>20.9</v>
      </c>
      <c r="D51">
        <v>35.200000000000003</v>
      </c>
    </row>
    <row r="52" spans="1:4" x14ac:dyDescent="0.25">
      <c r="A52" s="1">
        <v>45776</v>
      </c>
      <c r="B52" t="s">
        <v>58</v>
      </c>
      <c r="C52">
        <v>20.399999999999999</v>
      </c>
      <c r="D52">
        <v>35.799999999999997</v>
      </c>
    </row>
    <row r="53" spans="1:4" x14ac:dyDescent="0.25">
      <c r="A53" s="1">
        <v>45776</v>
      </c>
      <c r="B53" t="s">
        <v>59</v>
      </c>
      <c r="C53">
        <v>19.899999999999999</v>
      </c>
      <c r="D53">
        <v>36.4</v>
      </c>
    </row>
    <row r="54" spans="1:4" x14ac:dyDescent="0.25">
      <c r="A54" s="1">
        <v>45776</v>
      </c>
      <c r="B54" t="s">
        <v>60</v>
      </c>
      <c r="C54">
        <v>19.399999999999999</v>
      </c>
      <c r="D54">
        <v>37.1</v>
      </c>
    </row>
    <row r="55" spans="1:4" x14ac:dyDescent="0.25">
      <c r="A55" s="1">
        <v>45776</v>
      </c>
      <c r="B55" t="s">
        <v>61</v>
      </c>
      <c r="C55">
        <v>19</v>
      </c>
      <c r="D55">
        <v>37.5</v>
      </c>
    </row>
    <row r="56" spans="1:4" x14ac:dyDescent="0.25">
      <c r="A56" s="1">
        <v>45776</v>
      </c>
      <c r="B56" t="s">
        <v>62</v>
      </c>
      <c r="C56">
        <v>18.5</v>
      </c>
      <c r="D56">
        <v>38.1</v>
      </c>
    </row>
    <row r="57" spans="1:4" x14ac:dyDescent="0.25">
      <c r="A57" s="1">
        <v>45776</v>
      </c>
      <c r="B57" t="s">
        <v>63</v>
      </c>
      <c r="C57">
        <v>18.2</v>
      </c>
      <c r="D57">
        <v>38.6</v>
      </c>
    </row>
    <row r="58" spans="1:4" x14ac:dyDescent="0.25">
      <c r="A58" s="1">
        <v>45776</v>
      </c>
      <c r="B58" t="s">
        <v>64</v>
      </c>
      <c r="C58">
        <v>17.8</v>
      </c>
      <c r="D58">
        <v>39.1</v>
      </c>
    </row>
    <row r="59" spans="1:4" x14ac:dyDescent="0.25">
      <c r="A59" s="1">
        <v>45776</v>
      </c>
      <c r="B59" t="s">
        <v>65</v>
      </c>
      <c r="C59">
        <v>17.399999999999999</v>
      </c>
      <c r="D59">
        <v>39.5</v>
      </c>
    </row>
    <row r="60" spans="1:4" x14ac:dyDescent="0.25">
      <c r="A60" s="1">
        <v>45776</v>
      </c>
      <c r="B60" t="s">
        <v>66</v>
      </c>
      <c r="C60">
        <v>17.100000000000001</v>
      </c>
      <c r="D60">
        <v>40</v>
      </c>
    </row>
    <row r="61" spans="1:4" x14ac:dyDescent="0.25">
      <c r="A61" s="1">
        <v>45776</v>
      </c>
      <c r="B61" t="s">
        <v>67</v>
      </c>
      <c r="C61">
        <v>16.8</v>
      </c>
      <c r="D61">
        <v>40.4</v>
      </c>
    </row>
    <row r="62" spans="1:4" x14ac:dyDescent="0.25">
      <c r="A62" s="1">
        <v>45776</v>
      </c>
      <c r="B62" t="s">
        <v>68</v>
      </c>
      <c r="C62">
        <v>16.5</v>
      </c>
      <c r="D62">
        <v>40.6</v>
      </c>
    </row>
    <row r="63" spans="1:4" x14ac:dyDescent="0.25">
      <c r="A63" s="1">
        <v>45776</v>
      </c>
      <c r="B63" t="s">
        <v>69</v>
      </c>
      <c r="C63">
        <v>16.2</v>
      </c>
      <c r="D63">
        <v>40.9</v>
      </c>
    </row>
    <row r="64" spans="1:4" x14ac:dyDescent="0.25">
      <c r="A64" s="1">
        <v>45776</v>
      </c>
      <c r="B64" t="s">
        <v>70</v>
      </c>
      <c r="C64">
        <v>15.9</v>
      </c>
      <c r="D64">
        <v>41.2</v>
      </c>
    </row>
    <row r="65" spans="1:4" x14ac:dyDescent="0.25">
      <c r="A65" s="1">
        <v>45776</v>
      </c>
      <c r="B65" t="s">
        <v>71</v>
      </c>
      <c r="C65">
        <v>15.7</v>
      </c>
      <c r="D65">
        <v>41.4</v>
      </c>
    </row>
    <row r="66" spans="1:4" x14ac:dyDescent="0.25">
      <c r="A66" s="1">
        <v>45776</v>
      </c>
      <c r="B66" t="s">
        <v>72</v>
      </c>
      <c r="C66">
        <v>15.4</v>
      </c>
      <c r="D66">
        <v>41.6</v>
      </c>
    </row>
    <row r="67" spans="1:4" x14ac:dyDescent="0.25">
      <c r="A67" s="1">
        <v>45776</v>
      </c>
      <c r="B67" t="s">
        <v>73</v>
      </c>
      <c r="C67">
        <v>15.2</v>
      </c>
      <c r="D67">
        <v>42</v>
      </c>
    </row>
    <row r="68" spans="1:4" x14ac:dyDescent="0.25">
      <c r="A68" s="1">
        <v>45776</v>
      </c>
      <c r="B68" t="s">
        <v>74</v>
      </c>
      <c r="C68">
        <v>15</v>
      </c>
      <c r="D68">
        <v>42.2</v>
      </c>
    </row>
    <row r="69" spans="1:4" x14ac:dyDescent="0.25">
      <c r="A69" s="1">
        <v>45776</v>
      </c>
      <c r="B69" t="s">
        <v>75</v>
      </c>
      <c r="C69">
        <v>14.7</v>
      </c>
      <c r="D69">
        <v>42.4</v>
      </c>
    </row>
    <row r="70" spans="1:4" x14ac:dyDescent="0.25">
      <c r="A70" s="1">
        <v>45776</v>
      </c>
      <c r="B70" t="s">
        <v>76</v>
      </c>
      <c r="C70">
        <v>14.5</v>
      </c>
      <c r="D70">
        <v>42.6</v>
      </c>
    </row>
    <row r="71" spans="1:4" x14ac:dyDescent="0.25">
      <c r="A71" s="1">
        <v>45776</v>
      </c>
      <c r="B71" t="s">
        <v>77</v>
      </c>
      <c r="C71">
        <v>14.3</v>
      </c>
      <c r="D71">
        <v>42.7</v>
      </c>
    </row>
    <row r="72" spans="1:4" x14ac:dyDescent="0.25">
      <c r="A72" s="1">
        <v>45776</v>
      </c>
      <c r="B72" t="s">
        <v>78</v>
      </c>
      <c r="C72">
        <v>14.1</v>
      </c>
      <c r="D72">
        <v>42.8</v>
      </c>
    </row>
    <row r="73" spans="1:4" x14ac:dyDescent="0.25">
      <c r="A73" s="1">
        <v>45776</v>
      </c>
      <c r="B73" t="s">
        <v>79</v>
      </c>
      <c r="C73">
        <v>14</v>
      </c>
      <c r="D73">
        <v>43</v>
      </c>
    </row>
    <row r="74" spans="1:4" x14ac:dyDescent="0.25">
      <c r="A74" s="1">
        <v>45776</v>
      </c>
      <c r="B74" t="s">
        <v>80</v>
      </c>
      <c r="C74">
        <v>13.8</v>
      </c>
      <c r="D74">
        <v>43.1</v>
      </c>
    </row>
    <row r="75" spans="1:4" x14ac:dyDescent="0.25">
      <c r="A75" s="1">
        <v>45776</v>
      </c>
      <c r="B75" t="s">
        <v>81</v>
      </c>
      <c r="C75">
        <v>13.6</v>
      </c>
      <c r="D75">
        <v>43.3</v>
      </c>
    </row>
    <row r="76" spans="1:4" x14ac:dyDescent="0.25">
      <c r="A76" s="1">
        <v>45776</v>
      </c>
      <c r="B76" t="s">
        <v>82</v>
      </c>
      <c r="C76">
        <v>13.5</v>
      </c>
      <c r="D76">
        <v>43.5</v>
      </c>
    </row>
    <row r="77" spans="1:4" x14ac:dyDescent="0.25">
      <c r="A77" s="1">
        <v>45776</v>
      </c>
      <c r="B77" t="s">
        <v>83</v>
      </c>
      <c r="C77">
        <v>13.3</v>
      </c>
      <c r="D77">
        <v>43.6</v>
      </c>
    </row>
    <row r="78" spans="1:4" x14ac:dyDescent="0.25">
      <c r="A78" s="1">
        <v>45776</v>
      </c>
      <c r="B78" t="s">
        <v>84</v>
      </c>
      <c r="C78">
        <v>13.1</v>
      </c>
      <c r="D78">
        <v>43.8</v>
      </c>
    </row>
    <row r="79" spans="1:4" x14ac:dyDescent="0.25">
      <c r="A79" s="1">
        <v>45776</v>
      </c>
      <c r="B79" t="s">
        <v>85</v>
      </c>
      <c r="C79">
        <v>13</v>
      </c>
      <c r="D79">
        <v>43.9</v>
      </c>
    </row>
    <row r="80" spans="1:4" x14ac:dyDescent="0.25">
      <c r="A80" s="1">
        <v>45776</v>
      </c>
      <c r="B80" t="s">
        <v>86</v>
      </c>
      <c r="C80">
        <v>12.8</v>
      </c>
      <c r="D80">
        <v>44.1</v>
      </c>
    </row>
    <row r="81" spans="1:4" x14ac:dyDescent="0.25">
      <c r="A81" s="1">
        <v>45776</v>
      </c>
      <c r="B81" t="s">
        <v>87</v>
      </c>
      <c r="C81">
        <v>12.7</v>
      </c>
      <c r="D81">
        <v>44.2</v>
      </c>
    </row>
    <row r="82" spans="1:4" x14ac:dyDescent="0.25">
      <c r="A82" s="1">
        <v>45776</v>
      </c>
      <c r="B82" t="s">
        <v>88</v>
      </c>
      <c r="C82">
        <v>12.5</v>
      </c>
      <c r="D82">
        <v>44.3</v>
      </c>
    </row>
    <row r="83" spans="1:4" x14ac:dyDescent="0.25">
      <c r="A83" s="1">
        <v>45776</v>
      </c>
      <c r="B83" t="s">
        <v>89</v>
      </c>
      <c r="C83">
        <v>12.4</v>
      </c>
      <c r="D83">
        <v>44.5</v>
      </c>
    </row>
    <row r="84" spans="1:4" x14ac:dyDescent="0.25">
      <c r="A84" s="1">
        <v>45776</v>
      </c>
      <c r="B84" t="s">
        <v>90</v>
      </c>
      <c r="C84">
        <v>12.3</v>
      </c>
      <c r="D84">
        <v>44.8</v>
      </c>
    </row>
    <row r="85" spans="1:4" x14ac:dyDescent="0.25">
      <c r="A85" s="1">
        <v>45776</v>
      </c>
      <c r="B85" t="s">
        <v>91</v>
      </c>
      <c r="C85">
        <v>12.1</v>
      </c>
      <c r="D85">
        <v>44.8</v>
      </c>
    </row>
    <row r="86" spans="1:4" x14ac:dyDescent="0.25">
      <c r="A86" s="1">
        <v>45776</v>
      </c>
      <c r="B86" t="s">
        <v>92</v>
      </c>
      <c r="C86">
        <v>12</v>
      </c>
      <c r="D86">
        <v>44.8</v>
      </c>
    </row>
    <row r="87" spans="1:4" x14ac:dyDescent="0.25">
      <c r="A87" s="1">
        <v>45776</v>
      </c>
      <c r="B87" t="s">
        <v>93</v>
      </c>
      <c r="C87">
        <v>11.9</v>
      </c>
      <c r="D87">
        <v>45</v>
      </c>
    </row>
    <row r="88" spans="1:4" x14ac:dyDescent="0.25">
      <c r="A88" s="1">
        <v>45776</v>
      </c>
      <c r="B88" t="s">
        <v>94</v>
      </c>
      <c r="C88">
        <v>11.8</v>
      </c>
      <c r="D88">
        <v>45.2</v>
      </c>
    </row>
    <row r="89" spans="1:4" x14ac:dyDescent="0.25">
      <c r="A89" s="1">
        <v>45776</v>
      </c>
      <c r="B89" t="s">
        <v>95</v>
      </c>
      <c r="C89">
        <v>11.7</v>
      </c>
      <c r="D89">
        <v>45.4</v>
      </c>
    </row>
    <row r="90" spans="1:4" x14ac:dyDescent="0.25">
      <c r="A90" s="1">
        <v>45776</v>
      </c>
      <c r="B90" t="s">
        <v>96</v>
      </c>
      <c r="C90">
        <v>11.6</v>
      </c>
      <c r="D90">
        <v>45.4</v>
      </c>
    </row>
    <row r="91" spans="1:4" x14ac:dyDescent="0.25">
      <c r="A91" s="1">
        <v>45776</v>
      </c>
      <c r="B91" t="s">
        <v>97</v>
      </c>
      <c r="C91">
        <v>11.4</v>
      </c>
      <c r="D91">
        <v>45.4</v>
      </c>
    </row>
    <row r="92" spans="1:4" x14ac:dyDescent="0.25">
      <c r="A92" s="1">
        <v>45776</v>
      </c>
      <c r="B92" t="s">
        <v>98</v>
      </c>
      <c r="C92">
        <v>11.3</v>
      </c>
      <c r="D92">
        <v>45.6</v>
      </c>
    </row>
    <row r="93" spans="1:4" x14ac:dyDescent="0.25">
      <c r="A93" s="1">
        <v>45776</v>
      </c>
      <c r="B93" t="s">
        <v>99</v>
      </c>
      <c r="C93">
        <v>11.2</v>
      </c>
      <c r="D93">
        <v>45.7</v>
      </c>
    </row>
    <row r="94" spans="1:4" x14ac:dyDescent="0.25">
      <c r="A94" s="1">
        <v>45776</v>
      </c>
      <c r="B94" t="s">
        <v>100</v>
      </c>
      <c r="C94">
        <v>11.1</v>
      </c>
      <c r="D94">
        <v>45.7</v>
      </c>
    </row>
    <row r="95" spans="1:4" x14ac:dyDescent="0.25">
      <c r="A95" s="1">
        <v>45776</v>
      </c>
      <c r="B95" t="s">
        <v>101</v>
      </c>
      <c r="C95">
        <v>11</v>
      </c>
      <c r="D95">
        <v>45.7</v>
      </c>
    </row>
    <row r="96" spans="1:4" x14ac:dyDescent="0.25">
      <c r="A96" s="1">
        <v>45776</v>
      </c>
      <c r="B96" t="s">
        <v>102</v>
      </c>
      <c r="C96">
        <v>10.9</v>
      </c>
      <c r="D96">
        <v>45.7</v>
      </c>
    </row>
    <row r="97" spans="1:4" x14ac:dyDescent="0.25">
      <c r="A97" s="1">
        <v>45776</v>
      </c>
      <c r="B97" t="s">
        <v>103</v>
      </c>
      <c r="C97">
        <v>10.8</v>
      </c>
      <c r="D97">
        <v>45.7</v>
      </c>
    </row>
    <row r="98" spans="1:4" x14ac:dyDescent="0.25">
      <c r="A98" s="1">
        <v>45776</v>
      </c>
      <c r="B98" t="s">
        <v>104</v>
      </c>
      <c r="C98">
        <v>10.7</v>
      </c>
      <c r="D98">
        <v>45.7</v>
      </c>
    </row>
    <row r="99" spans="1:4" x14ac:dyDescent="0.25">
      <c r="A99" s="1">
        <v>45776</v>
      </c>
      <c r="B99" t="s">
        <v>105</v>
      </c>
      <c r="C99">
        <v>10.6</v>
      </c>
      <c r="D99">
        <v>45.8</v>
      </c>
    </row>
    <row r="100" spans="1:4" x14ac:dyDescent="0.25">
      <c r="A100" s="1">
        <v>45776</v>
      </c>
      <c r="B100" t="s">
        <v>106</v>
      </c>
      <c r="C100">
        <v>10.5</v>
      </c>
      <c r="D100">
        <v>45.8</v>
      </c>
    </row>
    <row r="101" spans="1:4" x14ac:dyDescent="0.25">
      <c r="A101" s="1">
        <v>45776</v>
      </c>
      <c r="B101" t="s">
        <v>107</v>
      </c>
      <c r="C101">
        <v>10.4</v>
      </c>
      <c r="D101">
        <v>45.8</v>
      </c>
    </row>
    <row r="102" spans="1:4" x14ac:dyDescent="0.25">
      <c r="A102" s="1">
        <v>45776</v>
      </c>
      <c r="B102" t="s">
        <v>108</v>
      </c>
      <c r="C102">
        <v>10.3</v>
      </c>
      <c r="D102">
        <v>45.9</v>
      </c>
    </row>
    <row r="103" spans="1:4" x14ac:dyDescent="0.25">
      <c r="A103" s="1">
        <v>45776</v>
      </c>
      <c r="B103" t="s">
        <v>109</v>
      </c>
      <c r="C103">
        <v>10.199999999999999</v>
      </c>
      <c r="D103">
        <v>46</v>
      </c>
    </row>
    <row r="104" spans="1:4" x14ac:dyDescent="0.25">
      <c r="A104" s="1">
        <v>45776</v>
      </c>
      <c r="B104" t="s">
        <v>110</v>
      </c>
      <c r="C104">
        <v>10</v>
      </c>
      <c r="D104">
        <v>46.1</v>
      </c>
    </row>
    <row r="105" spans="1:4" x14ac:dyDescent="0.25">
      <c r="A105" s="1">
        <v>45776</v>
      </c>
      <c r="B105" t="s">
        <v>111</v>
      </c>
      <c r="C105">
        <v>10</v>
      </c>
      <c r="D105">
        <v>46.2</v>
      </c>
    </row>
    <row r="106" spans="1:4" x14ac:dyDescent="0.25">
      <c r="A106" s="1">
        <v>45776</v>
      </c>
      <c r="B106" t="s">
        <v>112</v>
      </c>
      <c r="C106">
        <v>9.9</v>
      </c>
      <c r="D106">
        <v>46.3</v>
      </c>
    </row>
    <row r="107" spans="1:4" x14ac:dyDescent="0.25">
      <c r="A107" s="1">
        <v>45776</v>
      </c>
      <c r="B107" t="s">
        <v>113</v>
      </c>
      <c r="C107">
        <v>9.6999999999999993</v>
      </c>
      <c r="D107">
        <v>46.4</v>
      </c>
    </row>
    <row r="108" spans="1:4" x14ac:dyDescent="0.25">
      <c r="A108" s="1">
        <v>45776</v>
      </c>
      <c r="B108" t="s">
        <v>114</v>
      </c>
      <c r="C108">
        <v>9.6</v>
      </c>
      <c r="D108">
        <v>46.5</v>
      </c>
    </row>
    <row r="109" spans="1:4" x14ac:dyDescent="0.25">
      <c r="A109" s="1">
        <v>45776</v>
      </c>
      <c r="B109" t="s">
        <v>115</v>
      </c>
      <c r="C109">
        <v>9.5</v>
      </c>
      <c r="D109">
        <v>46.6</v>
      </c>
    </row>
    <row r="110" spans="1:4" x14ac:dyDescent="0.25">
      <c r="A110" s="1">
        <v>45776</v>
      </c>
      <c r="B110" t="s">
        <v>116</v>
      </c>
      <c r="C110">
        <v>9.5</v>
      </c>
      <c r="D110">
        <v>46.6</v>
      </c>
    </row>
    <row r="111" spans="1:4" x14ac:dyDescent="0.25">
      <c r="A111" s="1">
        <v>45776</v>
      </c>
      <c r="B111" t="s">
        <v>117</v>
      </c>
      <c r="C111">
        <v>9.4</v>
      </c>
      <c r="D111">
        <v>46.6</v>
      </c>
    </row>
    <row r="112" spans="1:4" x14ac:dyDescent="0.25">
      <c r="A112" s="1">
        <v>45776</v>
      </c>
      <c r="B112" t="s">
        <v>118</v>
      </c>
      <c r="C112">
        <v>9.3000000000000007</v>
      </c>
      <c r="D112">
        <v>46.6</v>
      </c>
    </row>
    <row r="113" spans="1:4" x14ac:dyDescent="0.25">
      <c r="A113" s="1">
        <v>45776</v>
      </c>
      <c r="B113" t="s">
        <v>119</v>
      </c>
      <c r="C113">
        <v>9.1999999999999993</v>
      </c>
      <c r="D113">
        <v>46.6</v>
      </c>
    </row>
    <row r="114" spans="1:4" x14ac:dyDescent="0.25">
      <c r="A114" s="1">
        <v>45776</v>
      </c>
      <c r="B114" t="s">
        <v>120</v>
      </c>
      <c r="C114">
        <v>9.1</v>
      </c>
      <c r="D114">
        <v>46.7</v>
      </c>
    </row>
    <row r="115" spans="1:4" x14ac:dyDescent="0.25">
      <c r="A115" s="1">
        <v>45776</v>
      </c>
      <c r="B115" t="s">
        <v>121</v>
      </c>
      <c r="C115">
        <v>9</v>
      </c>
      <c r="D115">
        <v>46.7</v>
      </c>
    </row>
    <row r="116" spans="1:4" x14ac:dyDescent="0.25">
      <c r="A116" s="1">
        <v>45776</v>
      </c>
      <c r="B116" t="s">
        <v>122</v>
      </c>
      <c r="C116">
        <v>8.9</v>
      </c>
      <c r="D116">
        <v>46.8</v>
      </c>
    </row>
    <row r="117" spans="1:4" x14ac:dyDescent="0.25">
      <c r="A117" s="1">
        <v>45776</v>
      </c>
      <c r="B117" t="s">
        <v>123</v>
      </c>
      <c r="C117">
        <v>8.8000000000000007</v>
      </c>
      <c r="D117">
        <v>46.8</v>
      </c>
    </row>
    <row r="118" spans="1:4" x14ac:dyDescent="0.25">
      <c r="A118" s="1">
        <v>45776</v>
      </c>
      <c r="B118" t="s">
        <v>124</v>
      </c>
      <c r="C118">
        <v>8.6999999999999993</v>
      </c>
      <c r="D118">
        <v>46.8</v>
      </c>
    </row>
    <row r="119" spans="1:4" x14ac:dyDescent="0.25">
      <c r="A119" s="1">
        <v>45776</v>
      </c>
      <c r="B119" t="s">
        <v>125</v>
      </c>
      <c r="C119">
        <v>8.6999999999999993</v>
      </c>
      <c r="D119">
        <v>46.8</v>
      </c>
    </row>
    <row r="120" spans="1:4" x14ac:dyDescent="0.25">
      <c r="A120" s="1">
        <v>45776</v>
      </c>
      <c r="B120" t="s">
        <v>126</v>
      </c>
      <c r="C120">
        <v>8.6</v>
      </c>
      <c r="D120">
        <v>46.8</v>
      </c>
    </row>
    <row r="121" spans="1:4" x14ac:dyDescent="0.25">
      <c r="A121" s="1">
        <v>45776</v>
      </c>
      <c r="B121" t="s">
        <v>127</v>
      </c>
      <c r="C121">
        <v>8.5</v>
      </c>
      <c r="D121">
        <v>47</v>
      </c>
    </row>
    <row r="122" spans="1:4" x14ac:dyDescent="0.25">
      <c r="A122" s="1">
        <v>45776</v>
      </c>
      <c r="B122" t="s">
        <v>128</v>
      </c>
      <c r="C122">
        <v>8.4</v>
      </c>
      <c r="D122">
        <v>47</v>
      </c>
    </row>
    <row r="123" spans="1:4" x14ac:dyDescent="0.25">
      <c r="A123" s="1">
        <v>45776</v>
      </c>
      <c r="B123" t="s">
        <v>129</v>
      </c>
      <c r="C123">
        <v>8.3000000000000007</v>
      </c>
      <c r="D123">
        <v>47</v>
      </c>
    </row>
    <row r="124" spans="1:4" x14ac:dyDescent="0.25">
      <c r="A124" s="1">
        <v>45776</v>
      </c>
      <c r="B124" t="s">
        <v>130</v>
      </c>
      <c r="C124">
        <v>8.1999999999999993</v>
      </c>
      <c r="D124">
        <v>46.3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FB40-07A8-4C09-B900-74E4C1FA6BB5}">
  <dimension ref="A1:M90"/>
  <sheetViews>
    <sheetView tabSelected="1" zoomScale="120" zoomScaleNormal="120" workbookViewId="0">
      <selection activeCell="F102" sqref="F102"/>
    </sheetView>
  </sheetViews>
  <sheetFormatPr baseColWidth="10" defaultRowHeight="15" x14ac:dyDescent="0.25"/>
  <cols>
    <col min="4" max="4" width="13.28515625" bestFit="1" customWidth="1"/>
    <col min="6" max="6" width="13.5703125" bestFit="1" customWidth="1"/>
    <col min="7" max="7" width="16.5703125" bestFit="1" customWidth="1"/>
  </cols>
  <sheetData>
    <row r="1" spans="1:13" x14ac:dyDescent="0.25">
      <c r="A1" t="s">
        <v>134</v>
      </c>
      <c r="B1" t="s">
        <v>41</v>
      </c>
      <c r="C1" t="s">
        <v>131</v>
      </c>
      <c r="D1" t="s">
        <v>136</v>
      </c>
      <c r="E1" t="s">
        <v>138</v>
      </c>
      <c r="F1" t="s">
        <v>144</v>
      </c>
    </row>
    <row r="2" spans="1:13" x14ac:dyDescent="0.25">
      <c r="A2">
        <v>0</v>
      </c>
      <c r="B2" t="s">
        <v>44</v>
      </c>
      <c r="C2">
        <v>26.3</v>
      </c>
    </row>
    <row r="3" spans="1:13" x14ac:dyDescent="0.25">
      <c r="A3">
        <v>0.5</v>
      </c>
      <c r="B3" t="s">
        <v>45</v>
      </c>
      <c r="C3">
        <v>26.5</v>
      </c>
      <c r="D3">
        <f>$K$5+(($K$6-$K$5)*EXP(-$K$4*A3))</f>
        <v>26.022656263625709</v>
      </c>
      <c r="E3">
        <f>(C3-D3)^2</f>
        <v>0.22785704265576837</v>
      </c>
      <c r="F3">
        <f t="shared" ref="F3:F34" si="0">(C3-C4)</f>
        <v>0</v>
      </c>
    </row>
    <row r="4" spans="1:13" x14ac:dyDescent="0.25">
      <c r="A4">
        <v>1</v>
      </c>
      <c r="B4" t="s">
        <v>46</v>
      </c>
      <c r="C4">
        <v>26.5</v>
      </c>
      <c r="D4">
        <f t="shared" ref="D4:D67" si="1">$K$5+(($K$6-$K$5)*EXP(-$K$4*A4))</f>
        <v>25.555439506925008</v>
      </c>
      <c r="E4">
        <f>(C4-D4)^2</f>
        <v>0.89219452507807118</v>
      </c>
      <c r="F4">
        <f>(C4-C5)</f>
        <v>0.19999999999999929</v>
      </c>
      <c r="J4" s="2" t="s">
        <v>133</v>
      </c>
      <c r="K4" s="2">
        <v>4.2887111197113206E-2</v>
      </c>
      <c r="M4" t="s">
        <v>143</v>
      </c>
    </row>
    <row r="5" spans="1:13" x14ac:dyDescent="0.25">
      <c r="A5">
        <v>1.5</v>
      </c>
      <c r="B5" t="s">
        <v>47</v>
      </c>
      <c r="C5">
        <v>26.3</v>
      </c>
      <c r="D5">
        <f t="shared" si="1"/>
        <v>25.098134883217202</v>
      </c>
      <c r="E5">
        <f t="shared" ref="E4:E67" si="2">(C5-D5)^2</f>
        <v>1.4444797589393295</v>
      </c>
      <c r="F5">
        <f t="shared" si="0"/>
        <v>0.19999999999999929</v>
      </c>
      <c r="J5" t="s">
        <v>137</v>
      </c>
      <c r="K5">
        <v>4</v>
      </c>
    </row>
    <row r="6" spans="1:13" x14ac:dyDescent="0.25">
      <c r="A6">
        <v>2</v>
      </c>
      <c r="B6" t="s">
        <v>48</v>
      </c>
      <c r="C6">
        <v>26.1</v>
      </c>
      <c r="D6">
        <f t="shared" si="1"/>
        <v>24.650532103853486</v>
      </c>
      <c r="E6">
        <f t="shared" si="2"/>
        <v>2.100957181959406</v>
      </c>
      <c r="F6">
        <f t="shared" si="0"/>
        <v>0.30000000000000071</v>
      </c>
      <c r="J6" t="s">
        <v>132</v>
      </c>
      <c r="K6">
        <v>26.5</v>
      </c>
    </row>
    <row r="7" spans="1:13" x14ac:dyDescent="0.25">
      <c r="A7">
        <v>2.5</v>
      </c>
      <c r="B7" t="s">
        <v>49</v>
      </c>
      <c r="C7">
        <v>25.8</v>
      </c>
      <c r="D7">
        <f t="shared" si="1"/>
        <v>24.212425341517008</v>
      </c>
      <c r="E7">
        <f t="shared" si="2"/>
        <v>2.5203932962573905</v>
      </c>
      <c r="F7">
        <f t="shared" si="0"/>
        <v>0.5</v>
      </c>
    </row>
    <row r="8" spans="1:13" x14ac:dyDescent="0.25">
      <c r="A8">
        <v>3</v>
      </c>
      <c r="B8" t="s">
        <v>50</v>
      </c>
      <c r="C8">
        <v>25.3</v>
      </c>
      <c r="D8">
        <f t="shared" si="1"/>
        <v>23.783613135574512</v>
      </c>
      <c r="E8">
        <f t="shared" si="2"/>
        <v>2.2994291226021644</v>
      </c>
      <c r="F8">
        <f t="shared" si="0"/>
        <v>0.60000000000000142</v>
      </c>
      <c r="J8" t="s">
        <v>135</v>
      </c>
    </row>
    <row r="9" spans="1:13" x14ac:dyDescent="0.25">
      <c r="A9">
        <v>3.5</v>
      </c>
      <c r="B9" t="s">
        <v>51</v>
      </c>
      <c r="C9">
        <v>24.7</v>
      </c>
      <c r="D9">
        <f t="shared" si="1"/>
        <v>23.363898299435906</v>
      </c>
      <c r="E9">
        <f t="shared" si="2"/>
        <v>1.7851677542502618</v>
      </c>
      <c r="F9">
        <f t="shared" si="0"/>
        <v>0.69999999999999929</v>
      </c>
    </row>
    <row r="10" spans="1:13" x14ac:dyDescent="0.25">
      <c r="A10">
        <v>4</v>
      </c>
      <c r="B10" t="s">
        <v>52</v>
      </c>
      <c r="C10">
        <v>24</v>
      </c>
      <c r="D10">
        <f t="shared" si="1"/>
        <v>22.953087829879262</v>
      </c>
      <c r="E10">
        <f t="shared" si="2"/>
        <v>1.0960250919469126</v>
      </c>
      <c r="F10">
        <f t="shared" si="0"/>
        <v>0.69999999999999929</v>
      </c>
      <c r="J10" t="s">
        <v>139</v>
      </c>
      <c r="K10" t="e">
        <f>AVERAGE(#REF!)</f>
        <v>#REF!</v>
      </c>
    </row>
    <row r="11" spans="1:13" x14ac:dyDescent="0.25">
      <c r="A11" s="3">
        <v>4.5</v>
      </c>
      <c r="B11" s="3" t="s">
        <v>53</v>
      </c>
      <c r="C11" s="3">
        <v>23.3</v>
      </c>
      <c r="D11" s="3">
        <f t="shared" si="1"/>
        <v>22.550992818299498</v>
      </c>
      <c r="E11" s="3">
        <f t="shared" si="2"/>
        <v>0.56101175823892946</v>
      </c>
      <c r="F11">
        <f t="shared" si="0"/>
        <v>0.60000000000000142</v>
      </c>
    </row>
    <row r="12" spans="1:13" x14ac:dyDescent="0.25">
      <c r="A12" s="3">
        <v>5</v>
      </c>
      <c r="B12" s="3" t="s">
        <v>54</v>
      </c>
      <c r="C12" s="3">
        <v>22.7</v>
      </c>
      <c r="D12" s="3">
        <f t="shared" si="1"/>
        <v>22.157428363839955</v>
      </c>
      <c r="E12" s="3">
        <f t="shared" si="2"/>
        <v>0.29438398036538754</v>
      </c>
      <c r="F12">
        <f t="shared" si="0"/>
        <v>0.59999999999999787</v>
      </c>
    </row>
    <row r="13" spans="1:13" x14ac:dyDescent="0.25">
      <c r="A13" s="3">
        <v>5.5</v>
      </c>
      <c r="B13" s="3" t="s">
        <v>55</v>
      </c>
      <c r="C13" s="3">
        <v>22.1</v>
      </c>
      <c r="D13" s="3">
        <f t="shared" si="1"/>
        <v>21.772213488366894</v>
      </c>
      <c r="E13" s="3">
        <f t="shared" si="2"/>
        <v>0.10744399720860107</v>
      </c>
      <c r="F13">
        <f t="shared" si="0"/>
        <v>0.60000000000000142</v>
      </c>
    </row>
    <row r="14" spans="1:13" x14ac:dyDescent="0.25">
      <c r="A14" s="3">
        <v>6</v>
      </c>
      <c r="B14" s="3" t="s">
        <v>56</v>
      </c>
      <c r="C14" s="3">
        <v>21.5</v>
      </c>
      <c r="D14" s="3">
        <f t="shared" si="1"/>
        <v>21.395171053247843</v>
      </c>
      <c r="E14" s="3">
        <f t="shared" si="2"/>
        <v>1.0989108077166576E-2</v>
      </c>
      <c r="F14">
        <f t="shared" si="0"/>
        <v>0.60000000000000142</v>
      </c>
    </row>
    <row r="15" spans="1:13" x14ac:dyDescent="0.25">
      <c r="A15" s="3">
        <v>6.5</v>
      </c>
      <c r="B15" s="3" t="s">
        <v>57</v>
      </c>
      <c r="C15" s="3">
        <v>20.9</v>
      </c>
      <c r="D15" s="3">
        <f t="shared" si="1"/>
        <v>21.02612767789552</v>
      </c>
      <c r="E15" s="3">
        <f t="shared" si="2"/>
        <v>1.590819113131639E-2</v>
      </c>
      <c r="F15">
        <f t="shared" si="0"/>
        <v>0.5</v>
      </c>
    </row>
    <row r="16" spans="1:13" x14ac:dyDescent="0.25">
      <c r="A16" s="3">
        <v>7</v>
      </c>
      <c r="B16" s="3" t="s">
        <v>58</v>
      </c>
      <c r="C16" s="3">
        <v>20.399999999999999</v>
      </c>
      <c r="D16" s="3">
        <f t="shared" si="1"/>
        <v>20.664913660039858</v>
      </c>
      <c r="E16" s="3">
        <f t="shared" si="2"/>
        <v>7.0179247275714077E-2</v>
      </c>
      <c r="F16">
        <f t="shared" si="0"/>
        <v>0.5</v>
      </c>
    </row>
    <row r="17" spans="1:6" x14ac:dyDescent="0.25">
      <c r="A17" s="3">
        <v>7.5</v>
      </c>
      <c r="B17" s="3" t="s">
        <v>59</v>
      </c>
      <c r="C17" s="3">
        <v>19.899999999999999</v>
      </c>
      <c r="D17" s="3">
        <f t="shared" si="1"/>
        <v>20.311362897691488</v>
      </c>
      <c r="E17" s="3">
        <f t="shared" si="2"/>
        <v>0.16921943359713892</v>
      </c>
      <c r="F17">
        <f t="shared" si="0"/>
        <v>0.5</v>
      </c>
    </row>
    <row r="18" spans="1:6" x14ac:dyDescent="0.25">
      <c r="A18" s="3">
        <v>8</v>
      </c>
      <c r="B18" s="3" t="s">
        <v>60</v>
      </c>
      <c r="C18" s="3">
        <v>19.399999999999999</v>
      </c>
      <c r="D18" s="3">
        <f t="shared" si="1"/>
        <v>19.965312812760772</v>
      </c>
      <c r="E18" s="3">
        <f t="shared" si="2"/>
        <v>0.31957857627149672</v>
      </c>
      <c r="F18">
        <f t="shared" si="0"/>
        <v>0.39999999999999858</v>
      </c>
    </row>
    <row r="19" spans="1:6" x14ac:dyDescent="0.25">
      <c r="A19" s="3">
        <v>8.5</v>
      </c>
      <c r="B19" s="3" t="s">
        <v>61</v>
      </c>
      <c r="C19" s="3">
        <v>19</v>
      </c>
      <c r="D19" s="3">
        <f t="shared" si="1"/>
        <v>19.626604276297329</v>
      </c>
      <c r="E19" s="3">
        <f>(C19-D19)^2</f>
        <v>0.39263291907409881</v>
      </c>
      <c r="F19">
        <f t="shared" si="0"/>
        <v>0.5</v>
      </c>
    </row>
    <row r="20" spans="1:6" x14ac:dyDescent="0.25">
      <c r="A20" s="3">
        <v>9</v>
      </c>
      <c r="B20" s="3" t="s">
        <v>62</v>
      </c>
      <c r="C20" s="3">
        <v>18.5</v>
      </c>
      <c r="D20" s="3">
        <f t="shared" si="1"/>
        <v>19.295081535315539</v>
      </c>
      <c r="E20" s="3">
        <f t="shared" ref="E20" si="3">(C20-D20)^2</f>
        <v>0.63215464779971497</v>
      </c>
      <c r="F20">
        <f t="shared" si="0"/>
        <v>0.30000000000000071</v>
      </c>
    </row>
    <row r="21" spans="1:6" x14ac:dyDescent="0.25">
      <c r="A21" s="3">
        <v>9.5</v>
      </c>
      <c r="B21" s="3" t="s">
        <v>63</v>
      </c>
      <c r="C21" s="3">
        <v>18.2</v>
      </c>
      <c r="D21" s="3">
        <f t="shared" si="1"/>
        <v>18.970592141172563</v>
      </c>
      <c r="E21" s="3">
        <f t="shared" si="2"/>
        <v>0.5938122480369169</v>
      </c>
      <c r="F21">
        <f t="shared" si="0"/>
        <v>0.39999999999999858</v>
      </c>
    </row>
    <row r="22" spans="1:6" x14ac:dyDescent="0.25">
      <c r="A22" s="3">
        <v>10</v>
      </c>
      <c r="B22" s="3" t="s">
        <v>64</v>
      </c>
      <c r="C22" s="3">
        <v>17.8</v>
      </c>
      <c r="D22" s="3">
        <f t="shared" si="1"/>
        <v>18.652986879465765</v>
      </c>
      <c r="E22" s="3">
        <f t="shared" si="2"/>
        <v>0.72758661654074142</v>
      </c>
      <c r="F22">
        <f t="shared" si="0"/>
        <v>0.40000000000000213</v>
      </c>
    </row>
    <row r="23" spans="1:6" x14ac:dyDescent="0.25">
      <c r="A23" s="3">
        <v>10.5</v>
      </c>
      <c r="B23" s="3" t="s">
        <v>65</v>
      </c>
      <c r="C23" s="3">
        <v>17.399999999999999</v>
      </c>
      <c r="D23" s="3">
        <f t="shared" si="1"/>
        <v>18.342119701417424</v>
      </c>
      <c r="E23" s="3">
        <f t="shared" si="2"/>
        <v>0.8875895317988588</v>
      </c>
      <c r="F23">
        <f t="shared" si="0"/>
        <v>0.29999999999999716</v>
      </c>
    </row>
    <row r="24" spans="1:6" x14ac:dyDescent="0.25">
      <c r="A24" s="3">
        <v>11</v>
      </c>
      <c r="B24" s="3" t="s">
        <v>66</v>
      </c>
      <c r="C24" s="3">
        <v>17.100000000000001</v>
      </c>
      <c r="D24" s="3">
        <f t="shared" si="1"/>
        <v>18.037847656715115</v>
      </c>
      <c r="E24" s="3">
        <f t="shared" si="2"/>
        <v>0.87955822720603016</v>
      </c>
      <c r="F24">
        <f t="shared" si="0"/>
        <v>0.30000000000000071</v>
      </c>
    </row>
    <row r="25" spans="1:6" x14ac:dyDescent="0.25">
      <c r="A25" s="3">
        <v>11.5</v>
      </c>
      <c r="B25" s="3" t="s">
        <v>67</v>
      </c>
      <c r="C25" s="3">
        <v>16.8</v>
      </c>
      <c r="D25" s="3">
        <f t="shared" si="1"/>
        <v>17.740030827776916</v>
      </c>
      <c r="E25" s="3">
        <f t="shared" si="2"/>
        <v>0.88365795717095319</v>
      </c>
      <c r="F25">
        <f t="shared" si="0"/>
        <v>0.30000000000000071</v>
      </c>
    </row>
    <row r="26" spans="1:6" x14ac:dyDescent="0.25">
      <c r="A26" s="3">
        <v>12</v>
      </c>
      <c r="B26" s="3" t="s">
        <v>68</v>
      </c>
      <c r="C26" s="3">
        <v>16.5</v>
      </c>
      <c r="D26" s="3">
        <f t="shared" si="1"/>
        <v>17.448532265411185</v>
      </c>
      <c r="E26" s="3">
        <f t="shared" si="2"/>
        <v>0.89971345852607421</v>
      </c>
      <c r="F26">
        <f t="shared" si="0"/>
        <v>0.30000000000000071</v>
      </c>
    </row>
    <row r="27" spans="1:6" x14ac:dyDescent="0.25">
      <c r="A27" s="3">
        <v>12.5</v>
      </c>
      <c r="B27" s="3" t="s">
        <v>69</v>
      </c>
      <c r="C27" s="3">
        <v>16.2</v>
      </c>
      <c r="D27" s="3">
        <f t="shared" si="1"/>
        <v>17.163217925841337</v>
      </c>
      <c r="E27" s="3">
        <f t="shared" si="2"/>
        <v>0.92778877266208937</v>
      </c>
      <c r="F27">
        <f t="shared" si="0"/>
        <v>0.29999999999999893</v>
      </c>
    </row>
    <row r="28" spans="1:6" x14ac:dyDescent="0.25">
      <c r="A28" s="3">
        <v>13</v>
      </c>
      <c r="B28" s="3" t="s">
        <v>70</v>
      </c>
      <c r="C28" s="3">
        <v>15.9</v>
      </c>
      <c r="D28" s="3">
        <f t="shared" si="1"/>
        <v>16.883956609066662</v>
      </c>
      <c r="E28" s="3">
        <f t="shared" si="2"/>
        <v>0.96817060852596226</v>
      </c>
      <c r="F28">
        <f t="shared" si="0"/>
        <v>0.20000000000000107</v>
      </c>
    </row>
    <row r="29" spans="1:6" x14ac:dyDescent="0.25">
      <c r="A29" s="3">
        <v>13.5</v>
      </c>
      <c r="B29" s="3" t="s">
        <v>71</v>
      </c>
      <c r="C29" s="3">
        <v>15.7</v>
      </c>
      <c r="D29" s="3">
        <f t="shared" si="1"/>
        <v>16.610619898530835</v>
      </c>
      <c r="E29" s="3">
        <f t="shared" si="2"/>
        <v>0.82922859960031015</v>
      </c>
      <c r="F29">
        <f t="shared" si="0"/>
        <v>0.29999999999999893</v>
      </c>
    </row>
    <row r="30" spans="1:6" x14ac:dyDescent="0.25">
      <c r="A30" s="3">
        <v>14</v>
      </c>
      <c r="B30" s="3" t="s">
        <v>72</v>
      </c>
      <c r="C30" s="3">
        <v>15.4</v>
      </c>
      <c r="D30" s="3">
        <f t="shared" si="1"/>
        <v>16.343082102070358</v>
      </c>
      <c r="E30" s="3">
        <f t="shared" si="2"/>
        <v>0.88940385124544497</v>
      </c>
      <c r="F30">
        <f t="shared" si="0"/>
        <v>0.20000000000000107</v>
      </c>
    </row>
    <row r="31" spans="1:6" x14ac:dyDescent="0.25">
      <c r="A31" s="3">
        <v>14.5</v>
      </c>
      <c r="B31" s="3" t="s">
        <v>73</v>
      </c>
      <c r="C31" s="3">
        <v>15.2</v>
      </c>
      <c r="D31" s="3">
        <f t="shared" si="1"/>
        <v>16.081220194115829</v>
      </c>
      <c r="E31" s="3">
        <f t="shared" si="2"/>
        <v>0.77654903051754109</v>
      </c>
      <c r="F31">
        <f t="shared" si="0"/>
        <v>0.19999999999999929</v>
      </c>
    </row>
    <row r="32" spans="1:6" x14ac:dyDescent="0.25">
      <c r="A32" s="3">
        <v>15</v>
      </c>
      <c r="B32" s="3" t="s">
        <v>74</v>
      </c>
      <c r="C32" s="3">
        <v>15</v>
      </c>
      <c r="D32" s="3">
        <f t="shared" si="1"/>
        <v>15.824913759119395</v>
      </c>
      <c r="E32" s="3">
        <f t="shared" si="2"/>
        <v>0.68048270998449178</v>
      </c>
      <c r="F32">
        <f t="shared" si="0"/>
        <v>0.30000000000000071</v>
      </c>
    </row>
    <row r="33" spans="1:6" x14ac:dyDescent="0.25">
      <c r="A33" s="3">
        <v>15.5</v>
      </c>
      <c r="B33" s="3" t="s">
        <v>75</v>
      </c>
      <c r="C33" s="3">
        <v>14.7</v>
      </c>
      <c r="D33" s="3">
        <f t="shared" si="1"/>
        <v>15.574044936182425</v>
      </c>
      <c r="E33" s="3">
        <f t="shared" si="2"/>
        <v>0.76395455046614014</v>
      </c>
      <c r="F33">
        <f t="shared" si="0"/>
        <v>0.19999999999999929</v>
      </c>
    </row>
    <row r="34" spans="1:6" x14ac:dyDescent="0.25">
      <c r="A34" s="3">
        <v>16</v>
      </c>
      <c r="B34" s="3" t="s">
        <v>76</v>
      </c>
      <c r="C34" s="3">
        <v>14.5</v>
      </c>
      <c r="D34" s="3">
        <f t="shared" si="1"/>
        <v>15.328498364857925</v>
      </c>
      <c r="E34" s="3">
        <f t="shared" si="2"/>
        <v>0.68640954057225534</v>
      </c>
      <c r="F34">
        <f t="shared" si="0"/>
        <v>0.19999999999999929</v>
      </c>
    </row>
    <row r="35" spans="1:6" x14ac:dyDescent="0.25">
      <c r="A35" s="3">
        <v>16.5</v>
      </c>
      <c r="B35" s="3" t="s">
        <v>77</v>
      </c>
      <c r="C35" s="3">
        <v>14.3</v>
      </c>
      <c r="D35" s="3">
        <f t="shared" si="1"/>
        <v>15.088161132102755</v>
      </c>
      <c r="E35" s="3">
        <f t="shared" si="2"/>
        <v>0.62119797015749512</v>
      </c>
      <c r="F35">
        <f t="shared" ref="F35:F66" si="4">(C35-C36)</f>
        <v>0.20000000000000107</v>
      </c>
    </row>
    <row r="36" spans="1:6" x14ac:dyDescent="0.25">
      <c r="A36" s="3">
        <v>17</v>
      </c>
      <c r="B36" s="3" t="s">
        <v>78</v>
      </c>
      <c r="C36" s="3">
        <v>14.1</v>
      </c>
      <c r="D36" s="3">
        <f t="shared" si="1"/>
        <v>14.852922720355282</v>
      </c>
      <c r="E36" s="3">
        <f t="shared" si="2"/>
        <v>0.56689262282719943</v>
      </c>
      <c r="F36">
        <f t="shared" si="4"/>
        <v>9.9999999999999645E-2</v>
      </c>
    </row>
    <row r="37" spans="1:6" x14ac:dyDescent="0.25">
      <c r="A37" s="3">
        <v>17.5</v>
      </c>
      <c r="B37" s="3" t="s">
        <v>79</v>
      </c>
      <c r="C37" s="3">
        <v>14</v>
      </c>
      <c r="D37" s="3">
        <f t="shared" si="1"/>
        <v>14.62267495671458</v>
      </c>
      <c r="E37" s="3">
        <f t="shared" si="2"/>
        <v>0.38772410171950344</v>
      </c>
      <c r="F37">
        <f t="shared" si="4"/>
        <v>0.19999999999999929</v>
      </c>
    </row>
    <row r="38" spans="1:6" x14ac:dyDescent="0.25">
      <c r="A38" s="3">
        <v>18</v>
      </c>
      <c r="B38" s="3" t="s">
        <v>80</v>
      </c>
      <c r="C38" s="3">
        <v>13.8</v>
      </c>
      <c r="D38" s="3">
        <f t="shared" si="1"/>
        <v>14.39731196319779</v>
      </c>
      <c r="E38" s="3">
        <f t="shared" si="2"/>
        <v>0.35678158137919735</v>
      </c>
      <c r="F38">
        <f t="shared" si="4"/>
        <v>0.20000000000000107</v>
      </c>
    </row>
    <row r="39" spans="1:6" x14ac:dyDescent="0.25">
      <c r="A39" s="3">
        <v>18.5</v>
      </c>
      <c r="B39" s="3" t="s">
        <v>81</v>
      </c>
      <c r="C39" s="3">
        <v>13.6</v>
      </c>
      <c r="D39" s="3">
        <f t="shared" si="1"/>
        <v>14.176730108052816</v>
      </c>
      <c r="E39" s="3">
        <f t="shared" si="2"/>
        <v>0.33261761753461283</v>
      </c>
      <c r="F39">
        <f t="shared" si="4"/>
        <v>9.9999999999999645E-2</v>
      </c>
    </row>
    <row r="40" spans="1:6" x14ac:dyDescent="0.25">
      <c r="A40" s="3">
        <v>19</v>
      </c>
      <c r="B40" s="3" t="s">
        <v>82</v>
      </c>
      <c r="C40" s="3">
        <v>13.5</v>
      </c>
      <c r="D40" s="3">
        <f t="shared" si="1"/>
        <v>13.960827958103895</v>
      </c>
      <c r="E40" s="3">
        <f t="shared" si="2"/>
        <v>0.2123624069702052</v>
      </c>
      <c r="F40">
        <f t="shared" si="4"/>
        <v>0.19999999999999929</v>
      </c>
    </row>
    <row r="41" spans="1:6" x14ac:dyDescent="0.25">
      <c r="A41" s="3">
        <v>19.5</v>
      </c>
      <c r="B41" s="3" t="s">
        <v>83</v>
      </c>
      <c r="C41" s="3">
        <v>13.3</v>
      </c>
      <c r="D41" s="3">
        <f t="shared" si="1"/>
        <v>13.749506232108216</v>
      </c>
      <c r="E41" s="3">
        <f t="shared" si="2"/>
        <v>0.20205585270412429</v>
      </c>
      <c r="F41">
        <f t="shared" si="4"/>
        <v>0.20000000000000107</v>
      </c>
    </row>
    <row r="42" spans="1:6" x14ac:dyDescent="0.25">
      <c r="A42" s="3">
        <v>20</v>
      </c>
      <c r="B42" s="3" t="s">
        <v>84</v>
      </c>
      <c r="C42" s="3">
        <v>13.1</v>
      </c>
      <c r="D42" s="3">
        <f t="shared" si="1"/>
        <v>13.542667755102038</v>
      </c>
      <c r="E42" s="3">
        <f t="shared" si="2"/>
        <v>0.19595474140707783</v>
      </c>
      <c r="F42">
        <f t="shared" si="4"/>
        <v>9.9999999999999645E-2</v>
      </c>
    </row>
    <row r="43" spans="1:6" x14ac:dyDescent="0.25">
      <c r="A43" s="3">
        <v>20.5</v>
      </c>
      <c r="B43" s="3" t="s">
        <v>85</v>
      </c>
      <c r="C43" s="3">
        <v>13</v>
      </c>
      <c r="D43" s="3">
        <f t="shared" si="1"/>
        <v>13.34021741371542</v>
      </c>
      <c r="E43" s="3">
        <f t="shared" si="2"/>
        <v>0.11574788859520935</v>
      </c>
      <c r="F43">
        <f t="shared" si="4"/>
        <v>0.19999999999999929</v>
      </c>
    </row>
    <row r="44" spans="1:6" x14ac:dyDescent="0.25">
      <c r="A44" s="3">
        <v>21</v>
      </c>
      <c r="B44" s="3" t="s">
        <v>86</v>
      </c>
      <c r="C44" s="3">
        <v>12.8</v>
      </c>
      <c r="D44" s="3">
        <f t="shared" si="1"/>
        <v>13.142062112434926</v>
      </c>
      <c r="E44" s="3">
        <f t="shared" si="2"/>
        <v>0.11700648876344374</v>
      </c>
      <c r="F44">
        <f t="shared" si="4"/>
        <v>0.10000000000000142</v>
      </c>
    </row>
    <row r="45" spans="1:6" x14ac:dyDescent="0.25">
      <c r="A45" s="3">
        <v>21.5</v>
      </c>
      <c r="B45" s="3" t="s">
        <v>87</v>
      </c>
      <c r="C45" s="3">
        <v>12.7</v>
      </c>
      <c r="D45" s="3">
        <f t="shared" si="1"/>
        <v>12.948110730794236</v>
      </c>
      <c r="E45" s="3">
        <f t="shared" si="2"/>
        <v>6.1558934735249989E-2</v>
      </c>
      <c r="F45">
        <f t="shared" si="4"/>
        <v>0.19999999999999929</v>
      </c>
    </row>
    <row r="46" spans="1:6" x14ac:dyDescent="0.25">
      <c r="A46" s="3">
        <v>22</v>
      </c>
      <c r="B46" s="3" t="s">
        <v>88</v>
      </c>
      <c r="C46" s="3">
        <v>12.5</v>
      </c>
      <c r="D46" s="3">
        <f t="shared" si="1"/>
        <v>12.758274081472981</v>
      </c>
      <c r="E46" s="3">
        <f t="shared" si="2"/>
        <v>6.6705501160712222E-2</v>
      </c>
      <c r="F46">
        <f t="shared" si="4"/>
        <v>9.9999999999999645E-2</v>
      </c>
    </row>
    <row r="47" spans="1:6" x14ac:dyDescent="0.25">
      <c r="A47" s="3">
        <v>22.5</v>
      </c>
      <c r="B47" s="3" t="s">
        <v>89</v>
      </c>
      <c r="C47" s="3">
        <v>12.4</v>
      </c>
      <c r="D47" s="3">
        <f>$K$5+(($K$6-$K$5)*EXP(-$K$4*A47))</f>
        <v>12.572464869284518</v>
      </c>
      <c r="E47" s="3">
        <f t="shared" si="2"/>
        <v>2.9744131137325838E-2</v>
      </c>
      <c r="F47">
        <f t="shared" si="4"/>
        <v>9.9999999999999645E-2</v>
      </c>
    </row>
    <row r="48" spans="1:6" x14ac:dyDescent="0.25">
      <c r="A48" s="3">
        <v>23</v>
      </c>
      <c r="B48" s="3" t="s">
        <v>90</v>
      </c>
      <c r="C48" s="3">
        <v>12.3</v>
      </c>
      <c r="D48" s="3">
        <f t="shared" si="1"/>
        <v>12.390597651033779</v>
      </c>
      <c r="E48" s="3">
        <f t="shared" si="2"/>
        <v>8.2079343728383436E-3</v>
      </c>
      <c r="F48">
        <f t="shared" si="4"/>
        <v>0.20000000000000107</v>
      </c>
    </row>
    <row r="49" spans="1:6" x14ac:dyDescent="0.25">
      <c r="A49" s="3">
        <v>23.5</v>
      </c>
      <c r="B49" s="3" t="s">
        <v>91</v>
      </c>
      <c r="C49" s="3">
        <v>12.1</v>
      </c>
      <c r="D49" s="3">
        <f t="shared" si="1"/>
        <v>12.212588796226767</v>
      </c>
      <c r="E49" s="3">
        <f t="shared" si="2"/>
        <v>1.2676237035792435E-2</v>
      </c>
      <c r="F49">
        <f t="shared" si="4"/>
        <v>9.9999999999999645E-2</v>
      </c>
    </row>
    <row r="50" spans="1:6" x14ac:dyDescent="0.25">
      <c r="A50" s="3">
        <v>24</v>
      </c>
      <c r="B50" s="3" t="s">
        <v>92</v>
      </c>
      <c r="C50" s="3">
        <v>12</v>
      </c>
      <c r="D50" s="3">
        <f t="shared" si="1"/>
        <v>12.038356448613586</v>
      </c>
      <c r="E50" s="3">
        <f t="shared" si="2"/>
        <v>1.471217150246638E-3</v>
      </c>
      <c r="F50">
        <f t="shared" si="4"/>
        <v>9.9999999999999645E-2</v>
      </c>
    </row>
    <row r="51" spans="1:6" x14ac:dyDescent="0.25">
      <c r="A51" s="3">
        <v>24.5</v>
      </c>
      <c r="B51" s="3" t="s">
        <v>93</v>
      </c>
      <c r="C51" s="3">
        <v>11.9</v>
      </c>
      <c r="D51" s="3">
        <f t="shared" si="1"/>
        <v>11.867820488547382</v>
      </c>
      <c r="E51" s="3">
        <f t="shared" si="2"/>
        <v>1.0355209573291869E-3</v>
      </c>
      <c r="F51">
        <f t="shared" si="4"/>
        <v>9.9999999999999645E-2</v>
      </c>
    </row>
    <row r="52" spans="1:6" x14ac:dyDescent="0.25">
      <c r="A52" s="3">
        <v>25</v>
      </c>
      <c r="B52" s="3" t="s">
        <v>94</v>
      </c>
      <c r="C52" s="3">
        <v>11.8</v>
      </c>
      <c r="D52" s="3">
        <f t="shared" si="1"/>
        <v>11.700902496141808</v>
      </c>
      <c r="E52" s="3">
        <f t="shared" si="2"/>
        <v>9.8203152709245636E-3</v>
      </c>
      <c r="F52">
        <f t="shared" si="4"/>
        <v>0.10000000000000142</v>
      </c>
    </row>
    <row r="53" spans="1:6" x14ac:dyDescent="0.25">
      <c r="A53" s="3">
        <v>25.5</v>
      </c>
      <c r="B53" s="3" t="s">
        <v>95</v>
      </c>
      <c r="C53" s="3">
        <v>11.7</v>
      </c>
      <c r="D53" s="3">
        <f t="shared" si="1"/>
        <v>11.537525715210144</v>
      </c>
      <c r="E53" s="3">
        <f t="shared" si="2"/>
        <v>2.6397893217974994E-2</v>
      </c>
      <c r="F53">
        <f t="shared" si="4"/>
        <v>9.9999999999999645E-2</v>
      </c>
    </row>
    <row r="54" spans="1:6" x14ac:dyDescent="0.25">
      <c r="A54" s="3">
        <v>26</v>
      </c>
      <c r="B54" s="3" t="s">
        <v>96</v>
      </c>
      <c r="C54" s="3">
        <v>11.6</v>
      </c>
      <c r="D54" s="3">
        <f t="shared" si="1"/>
        <v>11.377615017969447</v>
      </c>
      <c r="E54" s="3">
        <f t="shared" si="2"/>
        <v>4.9455080232729286E-2</v>
      </c>
      <c r="F54">
        <f t="shared" si="4"/>
        <v>0.19999999999999929</v>
      </c>
    </row>
    <row r="55" spans="1:6" x14ac:dyDescent="0.25">
      <c r="A55" s="3">
        <v>26.5</v>
      </c>
      <c r="B55" s="3" t="s">
        <v>97</v>
      </c>
      <c r="C55" s="3">
        <v>11.4</v>
      </c>
      <c r="D55" s="3">
        <f t="shared" si="1"/>
        <v>11.221096870493508</v>
      </c>
      <c r="E55" s="3">
        <f t="shared" si="2"/>
        <v>3.2006329747216893E-2</v>
      </c>
      <c r="F55">
        <f t="shared" si="4"/>
        <v>9.9999999999999645E-2</v>
      </c>
    </row>
    <row r="56" spans="1:6" x14ac:dyDescent="0.25">
      <c r="A56" s="3">
        <v>27</v>
      </c>
      <c r="B56" s="3" t="s">
        <v>98</v>
      </c>
      <c r="C56" s="3">
        <v>11.3</v>
      </c>
      <c r="D56" s="3">
        <f t="shared" si="1"/>
        <v>11.067899298898748</v>
      </c>
      <c r="E56" s="3">
        <f t="shared" si="2"/>
        <v>5.3870735451692991E-2</v>
      </c>
      <c r="F56">
        <f t="shared" si="4"/>
        <v>0.10000000000000142</v>
      </c>
    </row>
    <row r="57" spans="1:6" x14ac:dyDescent="0.25">
      <c r="A57" s="3">
        <v>27.5</v>
      </c>
      <c r="B57" s="3" t="s">
        <v>99</v>
      </c>
      <c r="C57" s="3">
        <v>11.2</v>
      </c>
      <c r="D57" s="3">
        <f t="shared" si="1"/>
        <v>10.91795185624748</v>
      </c>
      <c r="E57" s="3">
        <f t="shared" si="2"/>
        <v>7.9551155394241541E-2</v>
      </c>
      <c r="F57">
        <f t="shared" si="4"/>
        <v>9.9999999999999645E-2</v>
      </c>
    </row>
    <row r="58" spans="1:6" x14ac:dyDescent="0.25">
      <c r="A58" s="3">
        <v>28</v>
      </c>
      <c r="B58" s="3" t="s">
        <v>100</v>
      </c>
      <c r="C58" s="3">
        <v>11.1</v>
      </c>
      <c r="D58" s="3">
        <f t="shared" si="1"/>
        <v>10.771185590153319</v>
      </c>
      <c r="E58" s="3">
        <f t="shared" si="2"/>
        <v>0.1081189161228208</v>
      </c>
      <c r="F58">
        <f t="shared" si="4"/>
        <v>9.9999999999999645E-2</v>
      </c>
    </row>
    <row r="59" spans="1:6" x14ac:dyDescent="0.25">
      <c r="A59" s="3">
        <v>28.5</v>
      </c>
      <c r="B59" s="3" t="s">
        <v>101</v>
      </c>
      <c r="C59" s="3">
        <v>11</v>
      </c>
      <c r="D59" s="3">
        <f t="shared" si="1"/>
        <v>10.627533011073872</v>
      </c>
      <c r="E59" s="3">
        <f t="shared" si="2"/>
        <v>0.13873165783969624</v>
      </c>
      <c r="F59">
        <f t="shared" si="4"/>
        <v>9.9999999999999645E-2</v>
      </c>
    </row>
    <row r="60" spans="1:6" x14ac:dyDescent="0.25">
      <c r="A60" s="3">
        <v>29</v>
      </c>
      <c r="B60" s="3" t="s">
        <v>102</v>
      </c>
      <c r="C60" s="3">
        <v>10.9</v>
      </c>
      <c r="D60" s="3">
        <f t="shared" si="1"/>
        <v>10.486928061276096</v>
      </c>
      <c r="E60" s="3">
        <f t="shared" si="2"/>
        <v>0.17062842656112498</v>
      </c>
      <c r="F60">
        <f t="shared" si="4"/>
        <v>9.9999999999999645E-2</v>
      </c>
    </row>
    <row r="61" spans="1:6" x14ac:dyDescent="0.25">
      <c r="A61" s="3">
        <v>29.5</v>
      </c>
      <c r="B61" s="3" t="s">
        <v>103</v>
      </c>
      <c r="C61" s="3">
        <v>10.8</v>
      </c>
      <c r="D61" s="3">
        <f t="shared" si="1"/>
        <v>10.349306084460061</v>
      </c>
      <c r="E61" s="3">
        <f t="shared" si="2"/>
        <v>0.20312500550472265</v>
      </c>
      <c r="F61">
        <f t="shared" si="4"/>
        <v>0.10000000000000142</v>
      </c>
    </row>
    <row r="62" spans="1:6" x14ac:dyDescent="0.25">
      <c r="A62" s="3">
        <v>30</v>
      </c>
      <c r="B62" s="3" t="s">
        <v>104</v>
      </c>
      <c r="C62" s="3">
        <v>10.7</v>
      </c>
      <c r="D62" s="3">
        <f t="shared" si="1"/>
        <v>10.214603796027163</v>
      </c>
      <c r="E62" s="3">
        <f t="shared" si="2"/>
        <v>0.23560947483123956</v>
      </c>
      <c r="F62">
        <f t="shared" si="4"/>
        <v>9.9999999999999645E-2</v>
      </c>
    </row>
    <row r="63" spans="1:6" x14ac:dyDescent="0.25">
      <c r="A63" s="3">
        <v>30.5</v>
      </c>
      <c r="B63" s="3" t="s">
        <v>105</v>
      </c>
      <c r="C63" s="3">
        <v>10.6</v>
      </c>
      <c r="D63" s="3">
        <f t="shared" si="1"/>
        <v>10.082759253979098</v>
      </c>
      <c r="E63" s="3">
        <f t="shared" si="2"/>
        <v>0.26753798934425843</v>
      </c>
      <c r="F63">
        <f t="shared" si="4"/>
        <v>9.9999999999999645E-2</v>
      </c>
    </row>
    <row r="64" spans="1:6" x14ac:dyDescent="0.25">
      <c r="A64" s="3">
        <v>31</v>
      </c>
      <c r="B64" s="3" t="s">
        <v>106</v>
      </c>
      <c r="C64" s="3">
        <v>10.5</v>
      </c>
      <c r="D64" s="3">
        <f t="shared" si="1"/>
        <v>9.9537118304342247</v>
      </c>
      <c r="E64" s="3">
        <f t="shared" si="2"/>
        <v>0.29843076420752529</v>
      </c>
      <c r="F64">
        <f t="shared" si="4"/>
        <v>9.9999999999999645E-2</v>
      </c>
    </row>
    <row r="65" spans="1:6" x14ac:dyDescent="0.25">
      <c r="A65" s="3">
        <v>31.5</v>
      </c>
      <c r="B65" s="3" t="s">
        <v>107</v>
      </c>
      <c r="C65" s="3">
        <v>10.4</v>
      </c>
      <c r="D65" s="3">
        <f t="shared" si="1"/>
        <v>9.8274021837482124</v>
      </c>
      <c r="E65" s="3">
        <f t="shared" si="2"/>
        <v>0.32786825917631635</v>
      </c>
      <c r="F65">
        <f t="shared" si="4"/>
        <v>9.9999999999999645E-2</v>
      </c>
    </row>
    <row r="66" spans="1:6" x14ac:dyDescent="0.25">
      <c r="A66" s="3">
        <v>32</v>
      </c>
      <c r="B66" s="3" t="s">
        <v>108</v>
      </c>
      <c r="C66" s="3">
        <v>10.3</v>
      </c>
      <c r="D66" s="3">
        <f t="shared" si="1"/>
        <v>9.7037722312261643</v>
      </c>
      <c r="E66" s="3">
        <f t="shared" si="2"/>
        <v>0.35548755225702738</v>
      </c>
      <c r="F66">
        <f t="shared" si="4"/>
        <v>0.10000000000000142</v>
      </c>
    </row>
    <row r="67" spans="1:6" x14ac:dyDescent="0.25">
      <c r="A67" s="3">
        <v>32.5</v>
      </c>
      <c r="B67" s="3" t="s">
        <v>109</v>
      </c>
      <c r="C67" s="3">
        <v>10.199999999999999</v>
      </c>
      <c r="D67" s="3">
        <f t="shared" si="1"/>
        <v>9.5827651224136545</v>
      </c>
      <c r="E67" s="3">
        <f t="shared" si="2"/>
        <v>0.38097889410903002</v>
      </c>
      <c r="F67">
        <f t="shared" ref="F67:F88" si="5">(C67-C68)</f>
        <v>0.19999999999999929</v>
      </c>
    </row>
    <row r="68" spans="1:6" x14ac:dyDescent="0.25">
      <c r="A68" s="3">
        <v>33</v>
      </c>
      <c r="B68" s="3" t="s">
        <v>110</v>
      </c>
      <c r="C68" s="3">
        <v>10</v>
      </c>
      <c r="D68" s="3">
        <f t="shared" ref="D68:D88" si="6">$K$5+(($K$6-$K$5)*EXP(-$K$4*A68))</f>
        <v>9.4643252129544102</v>
      </c>
      <c r="E68" s="3">
        <f t="shared" ref="E68:E88" si="7">(C68-D68)^2</f>
        <v>0.28694747747633798</v>
      </c>
      <c r="F68">
        <f t="shared" si="5"/>
        <v>0</v>
      </c>
    </row>
    <row r="69" spans="1:6" x14ac:dyDescent="0.25">
      <c r="A69" s="3">
        <v>33.5</v>
      </c>
      <c r="B69" s="3" t="s">
        <v>111</v>
      </c>
      <c r="C69" s="3">
        <v>10</v>
      </c>
      <c r="D69" s="3">
        <f t="shared" si="6"/>
        <v>9.3483980390025927</v>
      </c>
      <c r="E69" s="3">
        <f t="shared" si="7"/>
        <v>0.42458511557566669</v>
      </c>
      <c r="F69">
        <f t="shared" si="5"/>
        <v>9.9999999999999645E-2</v>
      </c>
    </row>
    <row r="70" spans="1:6" x14ac:dyDescent="0.25">
      <c r="A70" s="3">
        <v>34</v>
      </c>
      <c r="B70" s="3" t="s">
        <v>112</v>
      </c>
      <c r="C70" s="3">
        <v>9.9</v>
      </c>
      <c r="D70" s="3">
        <f t="shared" si="6"/>
        <v>9.2349302921779515</v>
      </c>
      <c r="E70" s="3">
        <f t="shared" si="7"/>
        <v>0.44231771626250549</v>
      </c>
      <c r="F70">
        <f t="shared" si="5"/>
        <v>0.20000000000000107</v>
      </c>
    </row>
    <row r="71" spans="1:6" x14ac:dyDescent="0.25">
      <c r="A71" s="3">
        <v>34.5</v>
      </c>
      <c r="B71" s="3" t="s">
        <v>113</v>
      </c>
      <c r="C71" s="3">
        <v>9.6999999999999993</v>
      </c>
      <c r="D71" s="3">
        <f t="shared" si="6"/>
        <v>9.1238697950522987</v>
      </c>
      <c r="E71" s="3">
        <f t="shared" si="7"/>
        <v>0.3319260130530795</v>
      </c>
      <c r="F71">
        <f t="shared" si="5"/>
        <v>9.9999999999999645E-2</v>
      </c>
    </row>
    <row r="72" spans="1:6" x14ac:dyDescent="0.25">
      <c r="A72" s="3">
        <v>35</v>
      </c>
      <c r="B72" s="3" t="s">
        <v>114</v>
      </c>
      <c r="C72" s="3">
        <v>9.6</v>
      </c>
      <c r="D72" s="3">
        <f t="shared" si="6"/>
        <v>9.0151654771560494</v>
      </c>
      <c r="E72" s="3">
        <f t="shared" si="7"/>
        <v>0.34203141911011092</v>
      </c>
      <c r="F72">
        <f t="shared" si="5"/>
        <v>9.9999999999999645E-2</v>
      </c>
    </row>
    <row r="73" spans="1:6" x14ac:dyDescent="0.25">
      <c r="A73" s="3">
        <v>35.5</v>
      </c>
      <c r="B73" s="3" t="s">
        <v>115</v>
      </c>
      <c r="C73" s="3">
        <v>9.5</v>
      </c>
      <c r="D73" s="3">
        <f t="shared" si="6"/>
        <v>8.9087673514937809</v>
      </c>
      <c r="E73" s="3">
        <f t="shared" si="7"/>
        <v>0.34955604465967849</v>
      </c>
      <c r="F73">
        <f t="shared" si="5"/>
        <v>0</v>
      </c>
    </row>
    <row r="74" spans="1:6" x14ac:dyDescent="0.25">
      <c r="A74" s="3">
        <v>36</v>
      </c>
      <c r="B74" s="3" t="s">
        <v>116</v>
      </c>
      <c r="C74" s="3">
        <v>9.5</v>
      </c>
      <c r="D74" s="3">
        <f t="shared" si="6"/>
        <v>8.8046264915580394</v>
      </c>
      <c r="E74" s="3">
        <f t="shared" si="7"/>
        <v>0.48354431624288141</v>
      </c>
      <c r="F74">
        <f t="shared" si="5"/>
        <v>9.9999999999999645E-2</v>
      </c>
    </row>
    <row r="75" spans="1:6" x14ac:dyDescent="0.25">
      <c r="A75" s="3">
        <v>36.5</v>
      </c>
      <c r="B75" s="3" t="s">
        <v>117</v>
      </c>
      <c r="C75" s="3">
        <v>9.4</v>
      </c>
      <c r="D75" s="3">
        <f t="shared" si="6"/>
        <v>8.7026950088307853</v>
      </c>
      <c r="E75" s="3">
        <f t="shared" si="7"/>
        <v>0.48623425070949911</v>
      </c>
      <c r="F75">
        <f t="shared" si="5"/>
        <v>9.9999999999999645E-2</v>
      </c>
    </row>
    <row r="76" spans="1:6" x14ac:dyDescent="0.25">
      <c r="A76" s="3">
        <v>37</v>
      </c>
      <c r="B76" s="3" t="s">
        <v>118</v>
      </c>
      <c r="C76" s="3">
        <v>9.3000000000000007</v>
      </c>
      <c r="D76" s="3">
        <f t="shared" si="6"/>
        <v>8.6029260307621627</v>
      </c>
      <c r="E76" s="3">
        <f t="shared" si="7"/>
        <v>0.48591211858899436</v>
      </c>
      <c r="F76">
        <f t="shared" si="5"/>
        <v>0.10000000000000142</v>
      </c>
    </row>
    <row r="77" spans="1:6" x14ac:dyDescent="0.25">
      <c r="A77" s="3">
        <v>37.5</v>
      </c>
      <c r="B77" s="3" t="s">
        <v>119</v>
      </c>
      <c r="C77" s="3">
        <v>9.1999999999999993</v>
      </c>
      <c r="D77" s="3">
        <f t="shared" si="6"/>
        <v>8.5052736792164509</v>
      </c>
      <c r="E77" s="3">
        <f t="shared" si="7"/>
        <v>0.48264466078944573</v>
      </c>
      <c r="F77">
        <f t="shared" si="5"/>
        <v>9.9999999999999645E-2</v>
      </c>
    </row>
    <row r="78" spans="1:6" x14ac:dyDescent="0.25">
      <c r="A78" s="3">
        <v>38</v>
      </c>
      <c r="B78" s="3" t="s">
        <v>120</v>
      </c>
      <c r="C78" s="3">
        <v>9.1</v>
      </c>
      <c r="D78" s="3">
        <f t="shared" si="6"/>
        <v>8.4096930493752993</v>
      </c>
      <c r="E78" s="3">
        <f t="shared" si="7"/>
        <v>0.4765236860807725</v>
      </c>
      <c r="F78">
        <f t="shared" si="5"/>
        <v>9.9999999999999645E-2</v>
      </c>
    </row>
    <row r="79" spans="1:6" x14ac:dyDescent="0.25">
      <c r="A79" s="3">
        <v>38.5</v>
      </c>
      <c r="B79" s="3" t="s">
        <v>121</v>
      </c>
      <c r="C79" s="3">
        <v>9</v>
      </c>
      <c r="D79" s="3">
        <f t="shared" si="6"/>
        <v>8.316140189088518</v>
      </c>
      <c r="E79" s="3">
        <f t="shared" si="7"/>
        <v>0.46766424097988785</v>
      </c>
      <c r="F79">
        <f t="shared" si="5"/>
        <v>9.9999999999999645E-2</v>
      </c>
    </row>
    <row r="80" spans="1:6" x14ac:dyDescent="0.25">
      <c r="A80" s="3">
        <v>39</v>
      </c>
      <c r="B80" s="3" t="s">
        <v>122</v>
      </c>
      <c r="C80" s="3">
        <v>8.9</v>
      </c>
      <c r="D80" s="3">
        <f t="shared" si="6"/>
        <v>8.224572078662975</v>
      </c>
      <c r="E80" s="3">
        <f t="shared" si="7"/>
        <v>0.4562028769216549</v>
      </c>
      <c r="F80">
        <f t="shared" si="5"/>
        <v>9.9999999999999645E-2</v>
      </c>
    </row>
    <row r="81" spans="1:9" x14ac:dyDescent="0.25">
      <c r="A81" s="3">
        <v>39.5</v>
      </c>
      <c r="B81" s="3" t="s">
        <v>123</v>
      </c>
      <c r="C81" s="3">
        <v>8.8000000000000007</v>
      </c>
      <c r="D81" s="3">
        <f t="shared" si="6"/>
        <v>8.1349466110802418</v>
      </c>
      <c r="E81" s="3">
        <f t="shared" si="7"/>
        <v>0.44229601011365616</v>
      </c>
      <c r="F81">
        <f t="shared" si="5"/>
        <v>0.10000000000000142</v>
      </c>
    </row>
    <row r="82" spans="1:9" x14ac:dyDescent="0.25">
      <c r="A82" s="3">
        <v>40</v>
      </c>
      <c r="B82" s="3" t="s">
        <v>124</v>
      </c>
      <c r="C82" s="3">
        <v>8.6999999999999993</v>
      </c>
      <c r="D82" s="3">
        <f t="shared" si="6"/>
        <v>8.047222572633963</v>
      </c>
      <c r="E82" s="3">
        <f t="shared" si="7"/>
        <v>0.42611836967862077</v>
      </c>
      <c r="F82">
        <f t="shared" si="5"/>
        <v>0</v>
      </c>
    </row>
    <row r="83" spans="1:9" x14ac:dyDescent="0.25">
      <c r="A83" s="3">
        <v>40.5</v>
      </c>
      <c r="B83" s="3" t="s">
        <v>125</v>
      </c>
      <c r="C83" s="3">
        <v>8.6999999999999993</v>
      </c>
      <c r="D83" s="3">
        <f t="shared" si="6"/>
        <v>7.9613596239779865</v>
      </c>
      <c r="E83" s="3">
        <f t="shared" si="7"/>
        <v>0.54558960508994048</v>
      </c>
      <c r="F83">
        <f t="shared" si="5"/>
        <v>9.9999999999999645E-2</v>
      </c>
    </row>
    <row r="84" spans="1:9" x14ac:dyDescent="0.25">
      <c r="A84" s="3">
        <v>41</v>
      </c>
      <c r="B84" s="3" t="s">
        <v>126</v>
      </c>
      <c r="C84" s="3">
        <v>8.6</v>
      </c>
      <c r="D84" s="3">
        <f t="shared" si="6"/>
        <v>7.8773182815765681</v>
      </c>
      <c r="E84" s="3">
        <f t="shared" si="7"/>
        <v>0.52226886614344403</v>
      </c>
      <c r="F84">
        <f t="shared" si="5"/>
        <v>9.9999999999999645E-2</v>
      </c>
    </row>
    <row r="85" spans="1:9" x14ac:dyDescent="0.25">
      <c r="A85" s="3">
        <v>41.5</v>
      </c>
      <c r="B85" s="3" t="s">
        <v>127</v>
      </c>
      <c r="C85" s="3">
        <v>8.5</v>
      </c>
      <c r="D85" s="3">
        <f t="shared" si="6"/>
        <v>7.7950598995481188</v>
      </c>
      <c r="E85" s="3">
        <f t="shared" si="7"/>
        <v>0.49694054522510828</v>
      </c>
      <c r="F85">
        <f t="shared" si="5"/>
        <v>9.9999999999999645E-2</v>
      </c>
    </row>
    <row r="86" spans="1:9" x14ac:dyDescent="0.25">
      <c r="A86" s="3">
        <v>42</v>
      </c>
      <c r="B86" s="3" t="s">
        <v>128</v>
      </c>
      <c r="C86" s="3">
        <v>8.4</v>
      </c>
      <c r="D86" s="3">
        <f t="shared" si="6"/>
        <v>7.7145466518941399</v>
      </c>
      <c r="E86" s="3">
        <f t="shared" si="7"/>
        <v>0.46984629242953391</v>
      </c>
      <c r="F86">
        <f t="shared" si="5"/>
        <v>9.9999999999999645E-2</v>
      </c>
    </row>
    <row r="87" spans="1:9" x14ac:dyDescent="0.25">
      <c r="A87" s="3">
        <v>42.5</v>
      </c>
      <c r="B87" s="3" t="s">
        <v>129</v>
      </c>
      <c r="C87" s="3">
        <v>8.3000000000000007</v>
      </c>
      <c r="D87" s="3">
        <f t="shared" si="6"/>
        <v>7.6357415151051722</v>
      </c>
      <c r="E87" s="3">
        <f t="shared" si="7"/>
        <v>0.44123933475477312</v>
      </c>
      <c r="F87">
        <f t="shared" si="5"/>
        <v>0.10000000000000142</v>
      </c>
    </row>
    <row r="88" spans="1:9" x14ac:dyDescent="0.25">
      <c r="A88" s="3">
        <v>43</v>
      </c>
      <c r="B88" s="3" t="s">
        <v>130</v>
      </c>
      <c r="C88" s="3">
        <v>8.1999999999999993</v>
      </c>
      <c r="D88" s="3">
        <f t="shared" si="6"/>
        <v>7.5586082511357748</v>
      </c>
      <c r="E88" s="3">
        <f t="shared" si="7"/>
        <v>0.41138337551110837</v>
      </c>
    </row>
    <row r="90" spans="1:9" x14ac:dyDescent="0.25">
      <c r="D90" s="2" t="s">
        <v>140</v>
      </c>
      <c r="E90" s="2">
        <f>SUM(E11:E88)</f>
        <v>29.26653909516617</v>
      </c>
      <c r="G90" t="s">
        <v>141</v>
      </c>
      <c r="H90">
        <f>AVERAGE(F3:F87)*2</f>
        <v>0.43058823529411827</v>
      </c>
      <c r="I90" t="s">
        <v>142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TZ0324050882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RYZEN5 2</dc:creator>
  <cp:lastModifiedBy>Personal Freight</cp:lastModifiedBy>
  <dcterms:created xsi:type="dcterms:W3CDTF">2025-04-29T23:13:40Z</dcterms:created>
  <dcterms:modified xsi:type="dcterms:W3CDTF">2025-05-02T15:17:50Z</dcterms:modified>
</cp:coreProperties>
</file>